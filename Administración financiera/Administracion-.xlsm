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sldx" ContentType="application/vnd.openxmlformats-officedocument.presentationml.slide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k\Downloads\Admin\"/>
    </mc:Choice>
  </mc:AlternateContent>
  <bookViews>
    <workbookView minimized="1" xWindow="0" yWindow="0" windowWidth="20490" windowHeight="7530" firstSheet="4" activeTab="8"/>
  </bookViews>
  <sheets>
    <sheet name="BASE DATOS" sheetId="2" r:id="rId1"/>
    <sheet name="INICIO" sheetId="19" r:id="rId2"/>
    <sheet name="RAZONES FINANCIERAS" sheetId="4" r:id="rId3"/>
    <sheet name="GRAFICAS" sheetId="5" r:id="rId4"/>
    <sheet name="RANKING LIQ" sheetId="11" r:id="rId5"/>
    <sheet name="RANKING RENT" sheetId="15" r:id="rId6"/>
    <sheet name="RANKING DEUDA" sheetId="16" r:id="rId7"/>
    <sheet name="RANKING UTILIDAD" sheetId="17" r:id="rId8"/>
    <sheet name="RANKING GENERAL" sheetId="18" r:id="rId9"/>
  </sheets>
  <calcPr calcId="171027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1" i="2" l="1"/>
  <c r="N10" i="2"/>
  <c r="N9" i="2"/>
  <c r="I2" i="2" l="1"/>
  <c r="F2" i="2"/>
  <c r="M3" i="2"/>
  <c r="N3" i="2" s="1"/>
  <c r="I4" i="2"/>
  <c r="I5" i="2"/>
  <c r="I9" i="2"/>
  <c r="I10" i="2"/>
  <c r="I11" i="2"/>
  <c r="I3" i="2"/>
  <c r="F4" i="2"/>
  <c r="F5" i="2"/>
  <c r="F9" i="2"/>
  <c r="F10" i="2"/>
  <c r="F11" i="2"/>
  <c r="F3" i="2"/>
  <c r="A4" i="4" l="1"/>
  <c r="A5" i="4"/>
  <c r="A6" i="4"/>
  <c r="A7" i="4"/>
  <c r="A8" i="4"/>
  <c r="A9" i="4"/>
  <c r="A10" i="4"/>
  <c r="A11" i="4"/>
  <c r="A12" i="4"/>
  <c r="A3" i="4"/>
  <c r="B4" i="4"/>
  <c r="C4" i="4"/>
  <c r="D4" i="4"/>
  <c r="E4" i="4"/>
  <c r="F4" i="4"/>
  <c r="G4" i="4"/>
  <c r="H4" i="4"/>
  <c r="I4" i="4"/>
  <c r="B5" i="4"/>
  <c r="C5" i="4"/>
  <c r="D5" i="4"/>
  <c r="E5" i="4"/>
  <c r="F5" i="4"/>
  <c r="G5" i="4"/>
  <c r="H5" i="4"/>
  <c r="I5" i="4"/>
  <c r="B6" i="4"/>
  <c r="C6" i="4"/>
  <c r="D6" i="4"/>
  <c r="E6" i="4"/>
  <c r="F6" i="4"/>
  <c r="G6" i="4"/>
  <c r="H6" i="4"/>
  <c r="I6" i="4"/>
  <c r="B7" i="4"/>
  <c r="C7" i="4"/>
  <c r="D7" i="4"/>
  <c r="E7" i="4"/>
  <c r="F7" i="4"/>
  <c r="G7" i="4"/>
  <c r="H7" i="4"/>
  <c r="I7" i="4"/>
  <c r="B8" i="4"/>
  <c r="C8" i="4"/>
  <c r="D8" i="4"/>
  <c r="E8" i="4"/>
  <c r="F8" i="4"/>
  <c r="G8" i="4"/>
  <c r="H8" i="4"/>
  <c r="I8" i="4"/>
  <c r="B9" i="4"/>
  <c r="C9" i="4"/>
  <c r="D9" i="4"/>
  <c r="E9" i="4"/>
  <c r="F9" i="4"/>
  <c r="G9" i="4"/>
  <c r="H9" i="4"/>
  <c r="I9" i="4"/>
  <c r="B10" i="4"/>
  <c r="C10" i="4"/>
  <c r="D10" i="4"/>
  <c r="E10" i="4"/>
  <c r="F10" i="4"/>
  <c r="G10" i="4"/>
  <c r="H10" i="4"/>
  <c r="I10" i="4"/>
  <c r="B11" i="4"/>
  <c r="C11" i="4"/>
  <c r="D11" i="4"/>
  <c r="E11" i="4"/>
  <c r="F11" i="4"/>
  <c r="G11" i="4"/>
  <c r="H11" i="4"/>
  <c r="I11" i="4"/>
  <c r="B12" i="4"/>
  <c r="C12" i="4"/>
  <c r="D12" i="4"/>
  <c r="E12" i="4"/>
  <c r="F12" i="4"/>
  <c r="G12" i="4"/>
  <c r="H12" i="4"/>
  <c r="I12" i="4"/>
  <c r="I3" i="4"/>
  <c r="H3" i="4"/>
  <c r="G3" i="4"/>
  <c r="F3" i="4"/>
  <c r="E3" i="4"/>
  <c r="D3" i="4"/>
  <c r="C3" i="4"/>
  <c r="B3" i="4"/>
  <c r="B11" i="18" l="1"/>
  <c r="B6" i="16"/>
  <c r="B8" i="11"/>
  <c r="B10" i="17"/>
  <c r="B12" i="15"/>
  <c r="B3" i="15"/>
  <c r="B3" i="18"/>
  <c r="B3" i="16"/>
  <c r="B4" i="17"/>
  <c r="B12" i="11"/>
  <c r="B7" i="16"/>
  <c r="B4" i="18"/>
  <c r="B5" i="17"/>
  <c r="B4" i="11"/>
  <c r="B7" i="15"/>
  <c r="B12" i="16"/>
  <c r="B4" i="15"/>
  <c r="B6" i="11"/>
  <c r="B12" i="18"/>
  <c r="B7" i="17"/>
  <c r="B10" i="18"/>
  <c r="B9" i="17"/>
  <c r="B10" i="16"/>
  <c r="B5" i="15"/>
  <c r="B10" i="11"/>
  <c r="B6" i="17"/>
  <c r="B11" i="15"/>
  <c r="B7" i="11"/>
  <c r="B7" i="18"/>
  <c r="B5" i="16"/>
  <c r="B11" i="11"/>
  <c r="B5" i="18"/>
  <c r="B3" i="17"/>
  <c r="B6" i="15"/>
  <c r="B4" i="16"/>
  <c r="B8" i="18"/>
  <c r="B11" i="17"/>
  <c r="B8" i="15"/>
  <c r="B5" i="11"/>
  <c r="B9" i="16"/>
  <c r="B6" i="18"/>
  <c r="B3" i="11"/>
  <c r="B12" i="17"/>
  <c r="B11" i="16"/>
  <c r="B10" i="15"/>
  <c r="B9" i="11"/>
  <c r="B8" i="17"/>
  <c r="B9" i="18"/>
  <c r="B8" i="16"/>
  <c r="B9" i="15"/>
  <c r="E13" i="4"/>
  <c r="M10" i="4" s="1"/>
  <c r="F25" i="4" s="1"/>
  <c r="G13" i="4"/>
  <c r="O6" i="4" s="1"/>
  <c r="I21" i="4" s="1"/>
  <c r="I13" i="4"/>
  <c r="Q11" i="4" s="1"/>
  <c r="L26" i="4" s="1"/>
  <c r="C13" i="4"/>
  <c r="K6" i="4" s="1"/>
  <c r="C21" i="4" s="1"/>
  <c r="D13" i="4"/>
  <c r="L5" i="4" s="1"/>
  <c r="E20" i="4" s="1"/>
  <c r="F13" i="4"/>
  <c r="N4" i="4" s="1"/>
  <c r="H19" i="4" s="1"/>
  <c r="H13" i="4"/>
  <c r="P3" i="4" s="1"/>
  <c r="K18" i="4" s="1"/>
  <c r="B13" i="4"/>
  <c r="G8" i="16" l="1"/>
  <c r="G8" i="17"/>
  <c r="G9" i="18"/>
  <c r="G9" i="11"/>
  <c r="G9" i="15"/>
  <c r="J11" i="18"/>
  <c r="J10" i="17"/>
  <c r="J12" i="15"/>
  <c r="J8" i="11"/>
  <c r="J6" i="16"/>
  <c r="L3" i="18"/>
  <c r="L3" i="15"/>
  <c r="L12" i="11"/>
  <c r="L3" i="16"/>
  <c r="L4" i="17"/>
  <c r="D11" i="18"/>
  <c r="D10" i="17"/>
  <c r="D12" i="15"/>
  <c r="D8" i="11"/>
  <c r="D6" i="16"/>
  <c r="I4" i="16"/>
  <c r="I3" i="17"/>
  <c r="I5" i="18"/>
  <c r="I6" i="15"/>
  <c r="I11" i="11"/>
  <c r="F7" i="17"/>
  <c r="F12" i="18"/>
  <c r="F6" i="11"/>
  <c r="F4" i="15"/>
  <c r="F12" i="16"/>
  <c r="M11" i="16"/>
  <c r="M12" i="17"/>
  <c r="M6" i="18"/>
  <c r="M3" i="11"/>
  <c r="M10" i="15"/>
  <c r="N11" i="4"/>
  <c r="H26" i="4" s="1"/>
  <c r="N6" i="4"/>
  <c r="H21" i="4" s="1"/>
  <c r="L11" i="4"/>
  <c r="E26" i="4" s="1"/>
  <c r="L3" i="4"/>
  <c r="E18" i="4" s="1"/>
  <c r="L7" i="4"/>
  <c r="E22" i="4" s="1"/>
  <c r="L8" i="4"/>
  <c r="E23" i="4" s="1"/>
  <c r="L12" i="4"/>
  <c r="E27" i="4" s="1"/>
  <c r="L6" i="4"/>
  <c r="E21" i="4" s="1"/>
  <c r="Q6" i="4"/>
  <c r="L21" i="4" s="1"/>
  <c r="M12" i="4"/>
  <c r="F27" i="4" s="1"/>
  <c r="M5" i="4"/>
  <c r="F20" i="4" s="1"/>
  <c r="M11" i="4"/>
  <c r="F26" i="4" s="1"/>
  <c r="O3" i="4"/>
  <c r="I18" i="4" s="1"/>
  <c r="M8" i="4"/>
  <c r="F23" i="4" s="1"/>
  <c r="M6" i="4"/>
  <c r="F21" i="4" s="1"/>
  <c r="O9" i="4"/>
  <c r="I24" i="4" s="1"/>
  <c r="O5" i="4"/>
  <c r="I20" i="4" s="1"/>
  <c r="K5" i="4"/>
  <c r="C20" i="4" s="1"/>
  <c r="Q8" i="4"/>
  <c r="L23" i="4" s="1"/>
  <c r="J6" i="4"/>
  <c r="B21" i="4" s="1"/>
  <c r="J4" i="4"/>
  <c r="B19" i="4" s="1"/>
  <c r="Q10" i="4"/>
  <c r="L25" i="4" s="1"/>
  <c r="Q7" i="4"/>
  <c r="L22" i="4" s="1"/>
  <c r="Q9" i="4"/>
  <c r="L24" i="4" s="1"/>
  <c r="Q4" i="4"/>
  <c r="L19" i="4" s="1"/>
  <c r="Q5" i="4"/>
  <c r="L20" i="4" s="1"/>
  <c r="Q3" i="4"/>
  <c r="L18" i="4" s="1"/>
  <c r="Q12" i="4"/>
  <c r="L27" i="4" s="1"/>
  <c r="P12" i="4"/>
  <c r="K27" i="4" s="1"/>
  <c r="P8" i="4"/>
  <c r="K23" i="4" s="1"/>
  <c r="P4" i="4"/>
  <c r="K19" i="4" s="1"/>
  <c r="P10" i="4"/>
  <c r="K25" i="4" s="1"/>
  <c r="P6" i="4"/>
  <c r="K21" i="4" s="1"/>
  <c r="P9" i="4"/>
  <c r="K24" i="4" s="1"/>
  <c r="P5" i="4"/>
  <c r="K20" i="4" s="1"/>
  <c r="P11" i="4"/>
  <c r="K26" i="4" s="1"/>
  <c r="P7" i="4"/>
  <c r="K22" i="4" s="1"/>
  <c r="O12" i="4"/>
  <c r="I27" i="4" s="1"/>
  <c r="O8" i="4"/>
  <c r="I23" i="4" s="1"/>
  <c r="O4" i="4"/>
  <c r="I19" i="4" s="1"/>
  <c r="O11" i="4"/>
  <c r="I26" i="4" s="1"/>
  <c r="O7" i="4"/>
  <c r="I22" i="4" s="1"/>
  <c r="O10" i="4"/>
  <c r="I25" i="4" s="1"/>
  <c r="N10" i="4"/>
  <c r="H25" i="4" s="1"/>
  <c r="N5" i="4"/>
  <c r="H20" i="4" s="1"/>
  <c r="N9" i="4"/>
  <c r="H24" i="4" s="1"/>
  <c r="N3" i="4"/>
  <c r="H18" i="4" s="1"/>
  <c r="N7" i="4"/>
  <c r="H22" i="4" s="1"/>
  <c r="M9" i="4"/>
  <c r="F24" i="4" s="1"/>
  <c r="M4" i="4"/>
  <c r="F19" i="4" s="1"/>
  <c r="M3" i="4"/>
  <c r="F18" i="4" s="1"/>
  <c r="M7" i="4"/>
  <c r="F22" i="4" s="1"/>
  <c r="L10" i="4"/>
  <c r="E25" i="4" s="1"/>
  <c r="L4" i="4"/>
  <c r="E19" i="4" s="1"/>
  <c r="K3" i="4"/>
  <c r="C18" i="4" s="1"/>
  <c r="K9" i="4"/>
  <c r="C24" i="4" s="1"/>
  <c r="J3" i="4"/>
  <c r="B18" i="4" s="1"/>
  <c r="K12" i="4"/>
  <c r="C27" i="4" s="1"/>
  <c r="K8" i="4"/>
  <c r="C23" i="4" s="1"/>
  <c r="K4" i="4"/>
  <c r="C19" i="4" s="1"/>
  <c r="J9" i="4"/>
  <c r="B24" i="4" s="1"/>
  <c r="K11" i="4"/>
  <c r="C26" i="4" s="1"/>
  <c r="K7" i="4"/>
  <c r="C22" i="4" s="1"/>
  <c r="J5" i="4"/>
  <c r="B20" i="4" s="1"/>
  <c r="K10" i="4"/>
  <c r="C25" i="4" s="1"/>
  <c r="J12" i="4"/>
  <c r="B27" i="4" s="1"/>
  <c r="J8" i="4"/>
  <c r="B23" i="4" s="1"/>
  <c r="N12" i="4"/>
  <c r="H27" i="4" s="1"/>
  <c r="N8" i="4"/>
  <c r="H23" i="4" s="1"/>
  <c r="L9" i="4"/>
  <c r="E24" i="4" s="1"/>
  <c r="J11" i="4"/>
  <c r="B26" i="4" s="1"/>
  <c r="J7" i="4"/>
  <c r="B22" i="4" s="1"/>
  <c r="J10" i="4"/>
  <c r="B25" i="4" s="1"/>
  <c r="G6" i="18" l="1"/>
  <c r="G10" i="15"/>
  <c r="G11" i="16"/>
  <c r="G12" i="17"/>
  <c r="G3" i="11"/>
  <c r="G5" i="16"/>
  <c r="G7" i="11"/>
  <c r="G6" i="17"/>
  <c r="G7" i="18"/>
  <c r="G11" i="15"/>
  <c r="G7" i="16"/>
  <c r="G4" i="11"/>
  <c r="G4" i="18"/>
  <c r="G5" i="17"/>
  <c r="G7" i="15"/>
  <c r="G10" i="18"/>
  <c r="G9" i="17"/>
  <c r="G10" i="16"/>
  <c r="G5" i="15"/>
  <c r="G10" i="11"/>
  <c r="G3" i="16"/>
  <c r="G4" i="17"/>
  <c r="G3" i="15"/>
  <c r="G12" i="11"/>
  <c r="G3" i="18"/>
  <c r="G11" i="18"/>
  <c r="G12" i="15"/>
  <c r="G6" i="16"/>
  <c r="G8" i="11"/>
  <c r="G10" i="17"/>
  <c r="G12" i="18"/>
  <c r="G4" i="15"/>
  <c r="G6" i="11"/>
  <c r="G12" i="16"/>
  <c r="G7" i="17"/>
  <c r="G9" i="16"/>
  <c r="G5" i="11"/>
  <c r="G11" i="17"/>
  <c r="G8" i="18"/>
  <c r="G8" i="15"/>
  <c r="G20" i="4"/>
  <c r="G5" i="18"/>
  <c r="G11" i="11"/>
  <c r="G6" i="15"/>
  <c r="G4" i="16"/>
  <c r="G3" i="17"/>
  <c r="J6" i="15"/>
  <c r="J11" i="11"/>
  <c r="J5" i="18"/>
  <c r="J4" i="16"/>
  <c r="J3" i="17"/>
  <c r="J19" i="4"/>
  <c r="K6" i="15" s="1"/>
  <c r="J8" i="17"/>
  <c r="J8" i="16"/>
  <c r="J9" i="11"/>
  <c r="J9" i="15"/>
  <c r="J9" i="18"/>
  <c r="J6" i="17"/>
  <c r="J11" i="15"/>
  <c r="J7" i="18"/>
  <c r="J5" i="16"/>
  <c r="J7" i="11"/>
  <c r="J4" i="18"/>
  <c r="J5" i="17"/>
  <c r="J4" i="11"/>
  <c r="J7" i="16"/>
  <c r="J7" i="15"/>
  <c r="J10" i="18"/>
  <c r="J9" i="17"/>
  <c r="J10" i="16"/>
  <c r="J5" i="15"/>
  <c r="J10" i="11"/>
  <c r="J8" i="15"/>
  <c r="J8" i="18"/>
  <c r="J5" i="11"/>
  <c r="J11" i="17"/>
  <c r="J9" i="16"/>
  <c r="J6" i="18"/>
  <c r="J3" i="11"/>
  <c r="J12" i="17"/>
  <c r="J11" i="16"/>
  <c r="J10" i="15"/>
  <c r="J12" i="16"/>
  <c r="J6" i="11"/>
  <c r="J7" i="17"/>
  <c r="J12" i="18"/>
  <c r="J4" i="15"/>
  <c r="J3" i="16"/>
  <c r="J3" i="15"/>
  <c r="J4" i="17"/>
  <c r="J3" i="18"/>
  <c r="J12" i="11"/>
  <c r="L6" i="18"/>
  <c r="L12" i="17"/>
  <c r="L3" i="11"/>
  <c r="L10" i="15"/>
  <c r="L11" i="16"/>
  <c r="L9" i="18"/>
  <c r="L9" i="11"/>
  <c r="L9" i="15"/>
  <c r="L8" i="16"/>
  <c r="L8" i="17"/>
  <c r="M26" i="4"/>
  <c r="N10" i="15" s="1"/>
  <c r="L12" i="18"/>
  <c r="L4" i="15"/>
  <c r="L6" i="11"/>
  <c r="L12" i="16"/>
  <c r="L7" i="17"/>
  <c r="L5" i="18"/>
  <c r="L6" i="15"/>
  <c r="L4" i="16"/>
  <c r="L11" i="11"/>
  <c r="L3" i="17"/>
  <c r="L10" i="18"/>
  <c r="L9" i="17"/>
  <c r="L5" i="15"/>
  <c r="L10" i="11"/>
  <c r="L10" i="16"/>
  <c r="L4" i="18"/>
  <c r="L7" i="15"/>
  <c r="L4" i="11"/>
  <c r="L5" i="17"/>
  <c r="L7" i="16"/>
  <c r="L7" i="18"/>
  <c r="L11" i="15"/>
  <c r="L6" i="17"/>
  <c r="L5" i="16"/>
  <c r="L7" i="11"/>
  <c r="L11" i="18"/>
  <c r="L8" i="11"/>
  <c r="L10" i="17"/>
  <c r="L12" i="15"/>
  <c r="L6" i="16"/>
  <c r="L8" i="18"/>
  <c r="L8" i="15"/>
  <c r="L11" i="17"/>
  <c r="L9" i="16"/>
  <c r="L5" i="11"/>
  <c r="C9" i="16"/>
  <c r="C5" i="11"/>
  <c r="C8" i="15"/>
  <c r="D27" i="4"/>
  <c r="C11" i="17"/>
  <c r="C8" i="18"/>
  <c r="D8" i="17"/>
  <c r="D8" i="16"/>
  <c r="D9" i="11"/>
  <c r="D9" i="18"/>
  <c r="D9" i="15"/>
  <c r="C4" i="18"/>
  <c r="C5" i="17"/>
  <c r="C7" i="16"/>
  <c r="C4" i="11"/>
  <c r="D24" i="4"/>
  <c r="C7" i="15"/>
  <c r="C3" i="18"/>
  <c r="C3" i="16"/>
  <c r="C4" i="17"/>
  <c r="C12" i="11"/>
  <c r="C3" i="15"/>
  <c r="D18" i="4"/>
  <c r="C3" i="17"/>
  <c r="C6" i="15"/>
  <c r="C11" i="11"/>
  <c r="C5" i="18"/>
  <c r="D19" i="4"/>
  <c r="C4" i="16"/>
  <c r="D22" i="4"/>
  <c r="C5" i="15"/>
  <c r="C10" i="18"/>
  <c r="C9" i="17"/>
  <c r="C10" i="16"/>
  <c r="C10" i="11"/>
  <c r="C4" i="15"/>
  <c r="C12" i="16"/>
  <c r="C7" i="17"/>
  <c r="C6" i="11"/>
  <c r="D20" i="4"/>
  <c r="C12" i="18"/>
  <c r="D3" i="17"/>
  <c r="D11" i="11"/>
  <c r="D6" i="15"/>
  <c r="D5" i="18"/>
  <c r="D4" i="16"/>
  <c r="D4" i="11"/>
  <c r="D7" i="16"/>
  <c r="D4" i="18"/>
  <c r="D5" i="17"/>
  <c r="D7" i="15"/>
  <c r="C8" i="11"/>
  <c r="C11" i="18"/>
  <c r="C6" i="16"/>
  <c r="C10" i="17"/>
  <c r="C12" i="15"/>
  <c r="D21" i="4"/>
  <c r="C9" i="18"/>
  <c r="C9" i="11"/>
  <c r="D25" i="4"/>
  <c r="C8" i="17"/>
  <c r="C9" i="15"/>
  <c r="C8" i="16"/>
  <c r="C10" i="15"/>
  <c r="D26" i="4"/>
  <c r="C11" i="16"/>
  <c r="C6" i="18"/>
  <c r="C12" i="17"/>
  <c r="C3" i="11"/>
  <c r="C7" i="11"/>
  <c r="C6" i="17"/>
  <c r="C11" i="15"/>
  <c r="D23" i="4"/>
  <c r="C7" i="18"/>
  <c r="C5" i="16"/>
  <c r="D10" i="18"/>
  <c r="D9" i="17"/>
  <c r="D10" i="16"/>
  <c r="D10" i="11"/>
  <c r="D5" i="15"/>
  <c r="D6" i="17"/>
  <c r="D11" i="15"/>
  <c r="D7" i="18"/>
  <c r="D5" i="16"/>
  <c r="D7" i="11"/>
  <c r="D3" i="18"/>
  <c r="D3" i="15"/>
  <c r="D3" i="16"/>
  <c r="D4" i="17"/>
  <c r="D12" i="11"/>
  <c r="D6" i="18"/>
  <c r="D12" i="17"/>
  <c r="D11" i="16"/>
  <c r="D10" i="15"/>
  <c r="D3" i="11"/>
  <c r="D8" i="15"/>
  <c r="D8" i="18"/>
  <c r="D5" i="11"/>
  <c r="D11" i="17"/>
  <c r="D9" i="16"/>
  <c r="D12" i="16"/>
  <c r="D6" i="11"/>
  <c r="D7" i="17"/>
  <c r="D4" i="15"/>
  <c r="D12" i="18"/>
  <c r="F3" i="17"/>
  <c r="F11" i="11"/>
  <c r="F5" i="18"/>
  <c r="F6" i="15"/>
  <c r="F4" i="16"/>
  <c r="G19" i="4"/>
  <c r="M12" i="16"/>
  <c r="M6" i="11"/>
  <c r="M7" i="17"/>
  <c r="M12" i="18"/>
  <c r="M4" i="15"/>
  <c r="M20" i="4"/>
  <c r="F11" i="15"/>
  <c r="F7" i="11"/>
  <c r="F5" i="16"/>
  <c r="F6" i="17"/>
  <c r="G23" i="4"/>
  <c r="F7" i="18"/>
  <c r="J23" i="4"/>
  <c r="I7" i="18"/>
  <c r="I11" i="15"/>
  <c r="I5" i="16"/>
  <c r="I6" i="17"/>
  <c r="I7" i="11"/>
  <c r="F9" i="15"/>
  <c r="F8" i="16"/>
  <c r="F8" i="17"/>
  <c r="F9" i="11"/>
  <c r="F9" i="18"/>
  <c r="G25" i="4"/>
  <c r="I12" i="16"/>
  <c r="I6" i="11"/>
  <c r="I7" i="17"/>
  <c r="I12" i="18"/>
  <c r="I4" i="15"/>
  <c r="J20" i="4"/>
  <c r="M4" i="16"/>
  <c r="M3" i="17"/>
  <c r="M5" i="18"/>
  <c r="M6" i="15"/>
  <c r="M11" i="11"/>
  <c r="M19" i="4"/>
  <c r="M6" i="16"/>
  <c r="M10" i="17"/>
  <c r="M8" i="11"/>
  <c r="M11" i="18"/>
  <c r="M12" i="15"/>
  <c r="M21" i="4"/>
  <c r="G22" i="4"/>
  <c r="F5" i="15"/>
  <c r="F10" i="18"/>
  <c r="F9" i="17"/>
  <c r="F10" i="16"/>
  <c r="F10" i="11"/>
  <c r="I11" i="16"/>
  <c r="I12" i="17"/>
  <c r="I6" i="18"/>
  <c r="I3" i="11"/>
  <c r="I10" i="15"/>
  <c r="J26" i="4"/>
  <c r="H4" i="15"/>
  <c r="H12" i="16"/>
  <c r="H7" i="17"/>
  <c r="H6" i="11"/>
  <c r="H12" i="18"/>
  <c r="I4" i="18"/>
  <c r="I4" i="11"/>
  <c r="I5" i="17"/>
  <c r="I7" i="15"/>
  <c r="I7" i="16"/>
  <c r="J24" i="4"/>
  <c r="J21" i="4"/>
  <c r="I6" i="16"/>
  <c r="I10" i="17"/>
  <c r="I8" i="11"/>
  <c r="I11" i="18"/>
  <c r="I12" i="15"/>
  <c r="J27" i="4"/>
  <c r="I8" i="18"/>
  <c r="I8" i="15"/>
  <c r="I9" i="16"/>
  <c r="I5" i="11"/>
  <c r="I11" i="17"/>
  <c r="I10" i="16"/>
  <c r="I5" i="15"/>
  <c r="I10" i="18"/>
  <c r="I10" i="11"/>
  <c r="I9" i="17"/>
  <c r="J22" i="4"/>
  <c r="J25" i="4"/>
  <c r="I9" i="18"/>
  <c r="I9" i="15"/>
  <c r="I9" i="11"/>
  <c r="I8" i="16"/>
  <c r="I8" i="17"/>
  <c r="M8" i="18"/>
  <c r="M8" i="15"/>
  <c r="M9" i="16"/>
  <c r="M5" i="11"/>
  <c r="M11" i="17"/>
  <c r="M27" i="4"/>
  <c r="M4" i="18"/>
  <c r="M4" i="11"/>
  <c r="M5" i="17"/>
  <c r="M7" i="15"/>
  <c r="M7" i="16"/>
  <c r="M24" i="4"/>
  <c r="F10" i="17"/>
  <c r="F11" i="18"/>
  <c r="F12" i="15"/>
  <c r="F8" i="11"/>
  <c r="F6" i="16"/>
  <c r="G21" i="4"/>
  <c r="F3" i="16"/>
  <c r="F4" i="17"/>
  <c r="F3" i="15"/>
  <c r="F3" i="18"/>
  <c r="F12" i="11"/>
  <c r="G18" i="4"/>
  <c r="N12" i="17"/>
  <c r="N6" i="18"/>
  <c r="G24" i="4"/>
  <c r="F5" i="17"/>
  <c r="F7" i="15"/>
  <c r="F7" i="16"/>
  <c r="F4" i="11"/>
  <c r="F4" i="18"/>
  <c r="M9" i="18"/>
  <c r="M9" i="15"/>
  <c r="M9" i="11"/>
  <c r="M8" i="16"/>
  <c r="M8" i="17"/>
  <c r="M25" i="4"/>
  <c r="I3" i="18"/>
  <c r="I3" i="16"/>
  <c r="I12" i="11"/>
  <c r="I4" i="17"/>
  <c r="I3" i="15"/>
  <c r="J18" i="4"/>
  <c r="M3" i="18"/>
  <c r="M3" i="16"/>
  <c r="M4" i="17"/>
  <c r="M3" i="15"/>
  <c r="M18" i="4"/>
  <c r="M12" i="11"/>
  <c r="M10" i="16"/>
  <c r="M5" i="15"/>
  <c r="M10" i="18"/>
  <c r="M10" i="11"/>
  <c r="M9" i="17"/>
  <c r="M22" i="4"/>
  <c r="M7" i="18"/>
  <c r="M11" i="15"/>
  <c r="M5" i="16"/>
  <c r="M7" i="11"/>
  <c r="M6" i="17"/>
  <c r="M23" i="4"/>
  <c r="F8" i="15"/>
  <c r="F9" i="16"/>
  <c r="F11" i="17"/>
  <c r="G27" i="4"/>
  <c r="F8" i="18"/>
  <c r="F5" i="11"/>
  <c r="G26" i="4"/>
  <c r="F12" i="17"/>
  <c r="F6" i="18"/>
  <c r="F10" i="15"/>
  <c r="F3" i="11"/>
  <c r="F11" i="16"/>
  <c r="N26" i="4" l="1"/>
  <c r="N22" i="4"/>
  <c r="N23" i="4"/>
  <c r="N21" i="4"/>
  <c r="N25" i="4"/>
  <c r="N20" i="4"/>
  <c r="N19" i="4"/>
  <c r="N24" i="4"/>
  <c r="N27" i="4"/>
  <c r="N18" i="4"/>
  <c r="K5" i="18"/>
  <c r="N3" i="11"/>
  <c r="N11" i="16"/>
  <c r="K3" i="17"/>
  <c r="K4" i="16"/>
  <c r="K11" i="11"/>
  <c r="E5" i="18"/>
  <c r="E4" i="16"/>
  <c r="E3" i="17"/>
  <c r="E6" i="15"/>
  <c r="E11" i="11"/>
  <c r="E7" i="16"/>
  <c r="E4" i="11"/>
  <c r="E7" i="15"/>
  <c r="E4" i="18"/>
  <c r="E5" i="17"/>
  <c r="E8" i="18"/>
  <c r="E8" i="15"/>
  <c r="E11" i="17"/>
  <c r="E9" i="16"/>
  <c r="E5" i="11"/>
  <c r="E3" i="15"/>
  <c r="E4" i="17"/>
  <c r="E3" i="18"/>
  <c r="E3" i="16"/>
  <c r="E12" i="11"/>
  <c r="E7" i="17"/>
  <c r="E6" i="11"/>
  <c r="E12" i="18"/>
  <c r="E4" i="15"/>
  <c r="E12" i="16"/>
  <c r="E10" i="11"/>
  <c r="E10" i="16"/>
  <c r="E5" i="15"/>
  <c r="E10" i="18"/>
  <c r="E9" i="17"/>
  <c r="E8" i="16"/>
  <c r="E8" i="17"/>
  <c r="E9" i="15"/>
  <c r="E9" i="18"/>
  <c r="E9" i="11"/>
  <c r="E7" i="18"/>
  <c r="E5" i="16"/>
  <c r="E7" i="11"/>
  <c r="E6" i="17"/>
  <c r="E11" i="15"/>
  <c r="E12" i="17"/>
  <c r="E3" i="11"/>
  <c r="E11" i="16"/>
  <c r="E10" i="15"/>
  <c r="E6" i="18"/>
  <c r="E10" i="17"/>
  <c r="E12" i="15"/>
  <c r="E6" i="16"/>
  <c r="E8" i="11"/>
  <c r="E11" i="18"/>
  <c r="N3" i="16"/>
  <c r="N4" i="17"/>
  <c r="N3" i="15"/>
  <c r="N3" i="18"/>
  <c r="N12" i="11"/>
  <c r="H4" i="17"/>
  <c r="H3" i="15"/>
  <c r="H12" i="11"/>
  <c r="H3" i="18"/>
  <c r="H3" i="16"/>
  <c r="N5" i="17"/>
  <c r="N7" i="15"/>
  <c r="N7" i="16"/>
  <c r="N4" i="11"/>
  <c r="N4" i="18"/>
  <c r="N7" i="17"/>
  <c r="N12" i="18"/>
  <c r="N6" i="11"/>
  <c r="N4" i="15"/>
  <c r="N12" i="16"/>
  <c r="K3" i="16"/>
  <c r="K4" i="17"/>
  <c r="K3" i="15"/>
  <c r="K3" i="18"/>
  <c r="K12" i="11"/>
  <c r="K8" i="16"/>
  <c r="K8" i="17"/>
  <c r="K9" i="18"/>
  <c r="K9" i="15"/>
  <c r="K9" i="11"/>
  <c r="K9" i="16"/>
  <c r="K11" i="17"/>
  <c r="K5" i="11"/>
  <c r="K8" i="18"/>
  <c r="K8" i="15"/>
  <c r="K5" i="16"/>
  <c r="K6" i="17"/>
  <c r="K7" i="11"/>
  <c r="K7" i="18"/>
  <c r="K11" i="15"/>
  <c r="K7" i="16"/>
  <c r="K4" i="18"/>
  <c r="K4" i="11"/>
  <c r="K5" i="17"/>
  <c r="K7" i="15"/>
  <c r="N10" i="17"/>
  <c r="N11" i="18"/>
  <c r="N12" i="15"/>
  <c r="N8" i="11"/>
  <c r="N6" i="16"/>
  <c r="N5" i="15"/>
  <c r="N10" i="18"/>
  <c r="N9" i="17"/>
  <c r="N10" i="16"/>
  <c r="N10" i="11"/>
  <c r="H4" i="18"/>
  <c r="H5" i="17"/>
  <c r="H7" i="15"/>
  <c r="H4" i="11"/>
  <c r="H7" i="16"/>
  <c r="H12" i="15"/>
  <c r="H8" i="11"/>
  <c r="H6" i="16"/>
  <c r="H10" i="17"/>
  <c r="H11" i="18"/>
  <c r="N8" i="15"/>
  <c r="N9" i="16"/>
  <c r="N11" i="17"/>
  <c r="N5" i="11"/>
  <c r="N8" i="18"/>
  <c r="K10" i="18"/>
  <c r="K10" i="11"/>
  <c r="K9" i="17"/>
  <c r="K10" i="16"/>
  <c r="K5" i="15"/>
  <c r="N3" i="17"/>
  <c r="N11" i="11"/>
  <c r="N5" i="18"/>
  <c r="N6" i="15"/>
  <c r="N4" i="16"/>
  <c r="H8" i="17"/>
  <c r="H9" i="11"/>
  <c r="H9" i="18"/>
  <c r="H9" i="15"/>
  <c r="H8" i="16"/>
  <c r="H6" i="15"/>
  <c r="H4" i="16"/>
  <c r="H3" i="17"/>
  <c r="H11" i="11"/>
  <c r="H5" i="18"/>
  <c r="H10" i="15"/>
  <c r="H11" i="16"/>
  <c r="H3" i="11"/>
  <c r="H12" i="17"/>
  <c r="H6" i="18"/>
  <c r="K6" i="18"/>
  <c r="K3" i="11"/>
  <c r="K10" i="15"/>
  <c r="K11" i="16"/>
  <c r="K12" i="17"/>
  <c r="K12" i="18"/>
  <c r="K4" i="15"/>
  <c r="K12" i="16"/>
  <c r="K6" i="11"/>
  <c r="K7" i="17"/>
  <c r="H11" i="17"/>
  <c r="H8" i="18"/>
  <c r="H8" i="15"/>
  <c r="H5" i="11"/>
  <c r="H9" i="16"/>
  <c r="N11" i="15"/>
  <c r="N7" i="11"/>
  <c r="N5" i="16"/>
  <c r="N6" i="17"/>
  <c r="N7" i="18"/>
  <c r="N9" i="15"/>
  <c r="N8" i="16"/>
  <c r="N8" i="17"/>
  <c r="N9" i="11"/>
  <c r="N9" i="18"/>
  <c r="K11" i="18"/>
  <c r="K12" i="15"/>
  <c r="K6" i="16"/>
  <c r="K10" i="17"/>
  <c r="K8" i="11"/>
  <c r="H9" i="17"/>
  <c r="H10" i="16"/>
  <c r="H10" i="11"/>
  <c r="H5" i="15"/>
  <c r="H10" i="18"/>
  <c r="H6" i="17"/>
  <c r="H7" i="18"/>
  <c r="H11" i="15"/>
  <c r="H7" i="11"/>
  <c r="H5" i="16"/>
  <c r="O6" i="18" l="1"/>
  <c r="O3" i="11"/>
  <c r="O10" i="15"/>
  <c r="O11" i="16"/>
  <c r="O12" i="17"/>
  <c r="O5" i="18"/>
  <c r="O6" i="15"/>
  <c r="O11" i="11"/>
  <c r="O4" i="16"/>
  <c r="O3" i="17"/>
  <c r="O8" i="16"/>
  <c r="O8" i="17"/>
  <c r="O9" i="18"/>
  <c r="O9" i="15"/>
  <c r="O9" i="11"/>
  <c r="O10" i="18"/>
  <c r="O10" i="11"/>
  <c r="O9" i="17"/>
  <c r="O10" i="16"/>
  <c r="O5" i="15"/>
  <c r="O3" i="16"/>
  <c r="O4" i="17"/>
  <c r="O3" i="15"/>
  <c r="O3" i="18"/>
  <c r="O12" i="11"/>
  <c r="O11" i="18"/>
  <c r="O12" i="15"/>
  <c r="O6" i="16"/>
  <c r="O10" i="17"/>
  <c r="O8" i="11"/>
  <c r="O5" i="16"/>
  <c r="O6" i="17"/>
  <c r="O7" i="11"/>
  <c r="O7" i="18"/>
  <c r="O11" i="15"/>
  <c r="O12" i="18"/>
  <c r="O4" i="15"/>
  <c r="O12" i="16"/>
  <c r="O6" i="11"/>
  <c r="O7" i="17"/>
  <c r="O9" i="16"/>
  <c r="O11" i="17"/>
  <c r="O8" i="18"/>
  <c r="O8" i="15"/>
  <c r="O5" i="11"/>
  <c r="O7" i="16"/>
  <c r="O4" i="18"/>
  <c r="O4" i="11"/>
  <c r="O5" i="17"/>
  <c r="O7" i="15"/>
</calcChain>
</file>

<file path=xl/sharedStrings.xml><?xml version="1.0" encoding="utf-8"?>
<sst xmlns="http://schemas.openxmlformats.org/spreadsheetml/2006/main" count="164" uniqueCount="62">
  <si>
    <t>Nombre de la empresa</t>
  </si>
  <si>
    <t>Activos fijos</t>
  </si>
  <si>
    <t>Activos totales</t>
  </si>
  <si>
    <t>Activo circulante</t>
  </si>
  <si>
    <t>inventarios</t>
  </si>
  <si>
    <t>Cuentas por cobrar</t>
  </si>
  <si>
    <t>Pasivo total</t>
  </si>
  <si>
    <t>Pasivo a corto plazo</t>
  </si>
  <si>
    <t>Pasivo a largo plazo</t>
  </si>
  <si>
    <t>Capital social</t>
  </si>
  <si>
    <t>Capital contable</t>
  </si>
  <si>
    <t>Ventas</t>
  </si>
  <si>
    <t>Costo de Ventas</t>
  </si>
  <si>
    <t>Utilidad bruta</t>
  </si>
  <si>
    <t>Utilidad de operación</t>
  </si>
  <si>
    <t>Utilidad del ejercicio</t>
  </si>
  <si>
    <t>NOMBRE DE LA EMPRESA</t>
  </si>
  <si>
    <t>LIQUIDEZ</t>
  </si>
  <si>
    <t>RENTABILIDAD</t>
  </si>
  <si>
    <t>DEUDA</t>
  </si>
  <si>
    <t>UTILIZACION DE ACTIVOS</t>
  </si>
  <si>
    <t>RAPIDA</t>
  </si>
  <si>
    <t>CIRCULANTE</t>
  </si>
  <si>
    <t>ACTIVOS</t>
  </si>
  <si>
    <t>CAPITAL</t>
  </si>
  <si>
    <t>TOTAL</t>
  </si>
  <si>
    <t>INVENTARIOS</t>
  </si>
  <si>
    <t>ACT. TOTAL</t>
  </si>
  <si>
    <t>CALIFICACION LIQ.</t>
  </si>
  <si>
    <t>CALIF. RENT</t>
  </si>
  <si>
    <t>CALIF. DEUDA</t>
  </si>
  <si>
    <t>CALIF. UT. ACT.</t>
  </si>
  <si>
    <t>PUNT. LIQUIDEZ</t>
  </si>
  <si>
    <t>PUNT. RENT.</t>
  </si>
  <si>
    <t>PUNT. DEUDA</t>
  </si>
  <si>
    <t>PUNT. UT. ACT</t>
  </si>
  <si>
    <t>CALIFICACION</t>
  </si>
  <si>
    <t>ALSEA</t>
  </si>
  <si>
    <t>L</t>
  </si>
  <si>
    <t>VOLARIS</t>
  </si>
  <si>
    <t>NO</t>
  </si>
  <si>
    <t>PEMEX</t>
  </si>
  <si>
    <t>ELEKTRA</t>
  </si>
  <si>
    <t>WALMEX</t>
  </si>
  <si>
    <t>AXTEL</t>
  </si>
  <si>
    <t>TELEVISA</t>
  </si>
  <si>
    <t>CALIF.LIQ.</t>
  </si>
  <si>
    <t>CAL.RENT</t>
  </si>
  <si>
    <t>CAL. DEUDA</t>
  </si>
  <si>
    <t>CAL. UT. ACT</t>
  </si>
  <si>
    <t>CAPITAL2</t>
  </si>
  <si>
    <t>FEMSA</t>
  </si>
  <si>
    <t>LALA</t>
  </si>
  <si>
    <t>HERDEZ</t>
  </si>
  <si>
    <t>RAPIDA 55%</t>
  </si>
  <si>
    <t>CIRCULANTE 45%</t>
  </si>
  <si>
    <t>ACTIVOS 60%</t>
  </si>
  <si>
    <t>CAPITAL 40%</t>
  </si>
  <si>
    <t>TOTAL 65%</t>
  </si>
  <si>
    <t>CAPITAL 35%</t>
  </si>
  <si>
    <t>INVENTARIOS 70%</t>
  </si>
  <si>
    <t>ACT. TOTAL 30%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</si>
</sst>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0" fontId="3" fillId="0" borderId="11" applyNumberFormat="0" applyFill="0" applyAlignment="0" applyProtection="0"/>
    <xf numFmtId="0" fontId="4" fillId="2" borderId="0" applyNumberFormat="0" applyBorder="0" applyAlignment="0" applyProtection="0"/>
  </cellStyleXfs>
  <cellXfs count="38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Fill="1" applyBorder="1"/>
    <xf numFmtId="0" fontId="0" fillId="0" borderId="1" xfId="0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0" fillId="0" borderId="8" xfId="0" applyBorder="1"/>
    <xf numFmtId="0" fontId="1" fillId="0" borderId="4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2" xfId="0" applyBorder="1"/>
    <xf numFmtId="0" fontId="1" fillId="0" borderId="6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2" fontId="0" fillId="0" borderId="1" xfId="0" applyNumberFormat="1" applyBorder="1"/>
    <xf numFmtId="2" fontId="0" fillId="0" borderId="5" xfId="0" applyNumberFormat="1" applyBorder="1"/>
    <xf numFmtId="2" fontId="0" fillId="0" borderId="3" xfId="0" applyNumberFormat="1" applyBorder="1"/>
    <xf numFmtId="2" fontId="0" fillId="0" borderId="9" xfId="0" applyNumberFormat="1" applyBorder="1"/>
    <xf numFmtId="44" fontId="0" fillId="0" borderId="1" xfId="0" applyNumberFormat="1" applyFill="1" applyBorder="1"/>
    <xf numFmtId="44" fontId="0" fillId="0" borderId="1" xfId="0" applyNumberFormat="1" applyBorder="1"/>
    <xf numFmtId="44" fontId="0" fillId="0" borderId="1" xfId="1" applyNumberFormat="1" applyFont="1" applyBorder="1"/>
    <xf numFmtId="1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0" xfId="0" applyNumberFormat="1" applyFill="1" applyBorder="1"/>
    <xf numFmtId="0" fontId="3" fillId="0" borderId="11" xfId="2" applyAlignment="1">
      <alignment horizontal="center" vertical="center"/>
    </xf>
    <xf numFmtId="0" fontId="3" fillId="0" borderId="11" xfId="2" applyFill="1" applyAlignment="1">
      <alignment horizontal="center" vertical="center" wrapText="1"/>
    </xf>
    <xf numFmtId="2" fontId="3" fillId="0" borderId="11" xfId="2" applyNumberFormat="1" applyFill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4" fillId="2" borderId="3" xfId="3" applyBorder="1" applyAlignment="1">
      <alignment horizontal="center" vertical="center" wrapText="1"/>
    </xf>
    <xf numFmtId="2" fontId="3" fillId="0" borderId="11" xfId="2" applyNumberFormat="1" applyFill="1" applyAlignment="1">
      <alignment horizontal="center" vertical="center" wrapText="1"/>
    </xf>
    <xf numFmtId="0" fontId="3" fillId="0" borderId="11" xfId="2" applyFill="1" applyAlignment="1">
      <alignment horizontal="center" vertical="center" wrapText="1"/>
    </xf>
    <xf numFmtId="2" fontId="3" fillId="0" borderId="11" xfId="2" applyNumberFormat="1" applyAlignment="1">
      <alignment horizontal="center" vertical="center"/>
    </xf>
    <xf numFmtId="0" fontId="3" fillId="0" borderId="11" xfId="2" applyAlignment="1">
      <alignment horizontal="center" vertical="center"/>
    </xf>
    <xf numFmtId="0" fontId="3" fillId="0" borderId="11" xfId="2" applyFill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</cellXfs>
  <cellStyles count="4">
    <cellStyle name="Encabezado 1" xfId="2" builtinId="16"/>
    <cellStyle name="Énfasis1" xfId="3" builtinId="29"/>
    <cellStyle name="Moneda" xfId="1" builtinId="4"/>
    <cellStyle name="Normal" xfId="0" builtinId="0"/>
  </cellStyles>
  <dxfs count="82">
    <dxf>
      <numFmt numFmtId="2" formatCode="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1"/>
      <tableStyleElement type="headerRow" dxfId="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LIQUIDEZ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RAZON RAPIDA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'RAZONES FINANCIERAS'!$A$3:$A$12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'RAZONES FINANCIERAS'!$J$3:$J$12</c:f>
              <c:numCache>
                <c:formatCode>0.00</c:formatCode>
                <c:ptCount val="10"/>
                <c:pt idx="0">
                  <c:v>-0.73189210861276632</c:v>
                </c:pt>
                <c:pt idx="1">
                  <c:v>2.144684588873055</c:v>
                </c:pt>
                <c:pt idx="2">
                  <c:v>5.9821550334631466</c:v>
                </c:pt>
                <c:pt idx="3">
                  <c:v>5.9299174831827886</c:v>
                </c:pt>
                <c:pt idx="4">
                  <c:v>2.6624787971602824</c:v>
                </c:pt>
                <c:pt idx="5">
                  <c:v>6.1333955951644779</c:v>
                </c:pt>
                <c:pt idx="6">
                  <c:v>8.3780448749506284</c:v>
                </c:pt>
                <c:pt idx="7">
                  <c:v>4.6321659287606414</c:v>
                </c:pt>
                <c:pt idx="8">
                  <c:v>10</c:v>
                </c:pt>
                <c:pt idx="9">
                  <c:v>6.6437552464178626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52-4B1D-9F48-6498BE153FEE}"/>
            </c:ext>
          </c:extLst>
        </c:ser>
        <c:ser>
          <c:idx val="1"/>
          <c:order val="1"/>
          <c:tx>
            <c:v>RAZON CIRCULANTE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'RAZONES FINANCIERAS'!$A$3:$A$12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'RAZONES FINANCIERAS'!$K$3:$K$12</c:f>
              <c:numCache>
                <c:formatCode>0.00</c:formatCode>
                <c:ptCount val="10"/>
                <c:pt idx="0">
                  <c:v>0.17198297977623475</c:v>
                </c:pt>
                <c:pt idx="1">
                  <c:v>1.8525637969595468</c:v>
                </c:pt>
                <c:pt idx="2">
                  <c:v>5.4677907570192303</c:v>
                </c:pt>
                <c:pt idx="3">
                  <c:v>5.1364755274795781</c:v>
                </c:pt>
                <c:pt idx="4">
                  <c:v>4.5495318086240824</c:v>
                </c:pt>
                <c:pt idx="5">
                  <c:v>5.1137761685790446</c:v>
                </c:pt>
                <c:pt idx="6">
                  <c:v>6.9758630667502368</c:v>
                </c:pt>
                <c:pt idx="7">
                  <c:v>5.193167488293863</c:v>
                </c:pt>
                <c:pt idx="8">
                  <c:v>10</c:v>
                </c:pt>
                <c:pt idx="9">
                  <c:v>8.9527466161726537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52-4B1D-9F48-6498BE153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738150624"/>
        <c:axId val="-1738163136"/>
      </c:barChart>
      <c:catAx>
        <c:axId val="-1738150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63136"/>
        <c:crosses val="autoZero"/>
        <c:auto val="1"/>
        <c:lblAlgn val="ctr"/>
        <c:lblOffset val="100"/>
        <c:noMultiLvlLbl val="0"/>
      </c:catAx>
      <c:valAx>
        <c:axId val="-173816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5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RENTABILIDAD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RENTABILIDAD SOBRE ACTIVOS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'RAZONES FINANCIERAS'!$A$3:$A$12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'RAZONES FINANCIERAS'!$L$3:$L$12</c:f>
              <c:numCache>
                <c:formatCode>0.00</c:formatCode>
                <c:ptCount val="10"/>
                <c:pt idx="0">
                  <c:v>10</c:v>
                </c:pt>
                <c:pt idx="1">
                  <c:v>0.22842789675751612</c:v>
                </c:pt>
                <c:pt idx="2">
                  <c:v>-0.45518509244380645</c:v>
                </c:pt>
                <c:pt idx="3">
                  <c:v>-0.74526303469852362</c:v>
                </c:pt>
                <c:pt idx="4">
                  <c:v>0.79194568430811507</c:v>
                </c:pt>
                <c:pt idx="5">
                  <c:v>-5.6771705160256689E-2</c:v>
                </c:pt>
                <c:pt idx="6">
                  <c:v>0.2804745742448021</c:v>
                </c:pt>
                <c:pt idx="7">
                  <c:v>0.31898637180613615</c:v>
                </c:pt>
                <c:pt idx="8">
                  <c:v>0.19046158465802646</c:v>
                </c:pt>
                <c:pt idx="9">
                  <c:v>0.33921255915099791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DF-4FE8-81C3-919EC692378A}"/>
            </c:ext>
          </c:extLst>
        </c:ser>
        <c:ser>
          <c:idx val="1"/>
          <c:order val="1"/>
          <c:tx>
            <c:v>RENTABILIDAD EN CAPITAL CONTABLE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'RAZONES FINANCIERAS'!$M$3:$M$12</c:f>
              <c:numCache>
                <c:formatCode>0.00</c:formatCode>
                <c:ptCount val="10"/>
                <c:pt idx="0">
                  <c:v>0.43325441764524181</c:v>
                </c:pt>
                <c:pt idx="1">
                  <c:v>1.3359754543970785</c:v>
                </c:pt>
                <c:pt idx="2">
                  <c:v>10</c:v>
                </c:pt>
                <c:pt idx="3">
                  <c:v>-2.9827204206624991</c:v>
                </c:pt>
                <c:pt idx="4">
                  <c:v>1.4301093395355844</c:v>
                </c:pt>
                <c:pt idx="5">
                  <c:v>-0.23017854010912661</c:v>
                </c:pt>
                <c:pt idx="6">
                  <c:v>0.87447112771589275</c:v>
                </c:pt>
                <c:pt idx="7">
                  <c:v>0.67043313083059397</c:v>
                </c:pt>
                <c:pt idx="8">
                  <c:v>0.28696351215416294</c:v>
                </c:pt>
                <c:pt idx="9">
                  <c:v>0.65622846998768936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DF-4FE8-81C3-919EC6923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1738144096"/>
        <c:axId val="-1738144640"/>
      </c:barChart>
      <c:catAx>
        <c:axId val="-173814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44640"/>
        <c:crosses val="autoZero"/>
        <c:auto val="1"/>
        <c:lblAlgn val="ctr"/>
        <c:lblOffset val="100"/>
        <c:noMultiLvlLbl val="0"/>
      </c:catAx>
      <c:valAx>
        <c:axId val="-173814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4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DEUDA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DEUDA 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'RAZONES FINANCIERAS'!$A$3:$A$12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'RAZONES FINANCIERAS'!$N$3:$N$12</c:f>
              <c:numCache>
                <c:formatCode>0.00</c:formatCode>
                <c:ptCount val="10"/>
                <c:pt idx="0">
                  <c:v>10</c:v>
                </c:pt>
                <c:pt idx="1">
                  <c:v>0.1729634059355766</c:v>
                </c:pt>
                <c:pt idx="2">
                  <c:v>0.22383207959122042</c:v>
                </c:pt>
                <c:pt idx="3">
                  <c:v>0.15443032902752718</c:v>
                </c:pt>
                <c:pt idx="4">
                  <c:v>8.3004942462379605E-2</c:v>
                </c:pt>
                <c:pt idx="5">
                  <c:v>0.15518645602009881</c:v>
                </c:pt>
                <c:pt idx="6">
                  <c:v>0.13777739161030095</c:v>
                </c:pt>
                <c:pt idx="7">
                  <c:v>0.10134583305059433</c:v>
                </c:pt>
                <c:pt idx="8">
                  <c:v>5.7191922554500216E-2</c:v>
                </c:pt>
                <c:pt idx="9">
                  <c:v>9.1684147398608598E-2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EE-41DE-9A72-4367AAE443B1}"/>
            </c:ext>
          </c:extLst>
        </c:ser>
        <c:ser>
          <c:idx val="1"/>
          <c:order val="1"/>
          <c:tx>
            <c:v>DEUDA TOTAL CAPITAL CONTABLE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'RAZONES FINANCIERAS'!$A$3:$A$12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'RAZONES FINANCIERAS'!$O$3:$O$12</c:f>
              <c:numCache>
                <c:formatCode>0.00</c:formatCode>
                <c:ptCount val="10"/>
                <c:pt idx="0">
                  <c:v>4.2829147797024563</c:v>
                </c:pt>
                <c:pt idx="1">
                  <c:v>10</c:v>
                </c:pt>
                <c:pt idx="2">
                  <c:v>-48.610572151976072</c:v>
                </c:pt>
                <c:pt idx="3">
                  <c:v>6.1098703826117582</c:v>
                </c:pt>
                <c:pt idx="4">
                  <c:v>1.481747600463998</c:v>
                </c:pt>
                <c:pt idx="5">
                  <c:v>6.2198962600638898</c:v>
                </c:pt>
                <c:pt idx="6">
                  <c:v>4.2464534667688856</c:v>
                </c:pt>
                <c:pt idx="7">
                  <c:v>2.1056475000587107</c:v>
                </c:pt>
                <c:pt idx="8">
                  <c:v>0.85182506482628162</c:v>
                </c:pt>
                <c:pt idx="9">
                  <c:v>1.753371038042467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EE-41DE-9A72-4367AAE44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8143552"/>
        <c:axId val="-1738171840"/>
      </c:barChart>
      <c:catAx>
        <c:axId val="-173814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71840"/>
        <c:crosses val="autoZero"/>
        <c:auto val="1"/>
        <c:lblAlgn val="ctr"/>
        <c:lblOffset val="100"/>
        <c:noMultiLvlLbl val="0"/>
      </c:catAx>
      <c:valAx>
        <c:axId val="-173817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4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UTILIZACION DE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ROTACION DE INVENTARIOS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'RAZONES FINANCIERAS'!$A$3:$A$12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'RAZONES FINANCIERAS'!$P$3:$P$12</c:f>
              <c:numCache>
                <c:formatCode>0.00</c:formatCode>
                <c:ptCount val="10"/>
                <c:pt idx="0">
                  <c:v>1.3795772645866571</c:v>
                </c:pt>
                <c:pt idx="1">
                  <c:v>10</c:v>
                </c:pt>
                <c:pt idx="2">
                  <c:v>2.2327078195287657</c:v>
                </c:pt>
                <c:pt idx="3">
                  <c:v>0.6168213668120931</c:v>
                </c:pt>
                <c:pt idx="4">
                  <c:v>1.0687498597088068</c:v>
                </c:pt>
                <c:pt idx="5">
                  <c:v>4.0328907915844816</c:v>
                </c:pt>
                <c:pt idx="6">
                  <c:v>4.2587809005013844</c:v>
                </c:pt>
                <c:pt idx="7">
                  <c:v>1.1554304637823427</c:v>
                </c:pt>
                <c:pt idx="8">
                  <c:v>0.34649603644283916</c:v>
                </c:pt>
                <c:pt idx="9">
                  <c:v>0.57686694109211989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C-4A59-97E6-56670316B61C}"/>
            </c:ext>
          </c:extLst>
        </c:ser>
        <c:ser>
          <c:idx val="1"/>
          <c:order val="1"/>
          <c:tx>
            <c:v>ROTACION DE ACTIVO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'RAZONES FINANCIERAS'!$A$3:$A$12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'RAZONES FINANCIERAS'!$Q$3:$Q$12</c:f>
              <c:numCache>
                <c:formatCode>0.00</c:formatCode>
                <c:ptCount val="10"/>
                <c:pt idx="0">
                  <c:v>10</c:v>
                </c:pt>
                <c:pt idx="1">
                  <c:v>0.24975647791828715</c:v>
                </c:pt>
                <c:pt idx="2">
                  <c:v>9.9702894024800995E-2</c:v>
                </c:pt>
                <c:pt idx="3">
                  <c:v>5.153750329239163E-2</c:v>
                </c:pt>
                <c:pt idx="4">
                  <c:v>0.21671388599576721</c:v>
                </c:pt>
                <c:pt idx="5">
                  <c:v>2.5412876213265429E-3</c:v>
                </c:pt>
                <c:pt idx="6">
                  <c:v>3.8117941146973131E-2</c:v>
                </c:pt>
                <c:pt idx="7">
                  <c:v>8.921617519379467E-2</c:v>
                </c:pt>
                <c:pt idx="8">
                  <c:v>4.5115359029293665E-2</c:v>
                </c:pt>
                <c:pt idx="9">
                  <c:v>8.1663227611111569E-2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8C-4A59-97E6-56670316B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8158240"/>
        <c:axId val="-1738165312"/>
      </c:barChart>
      <c:catAx>
        <c:axId val="-173815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65312"/>
        <c:crosses val="autoZero"/>
        <c:auto val="1"/>
        <c:lblAlgn val="ctr"/>
        <c:lblOffset val="100"/>
        <c:noMultiLvlLbl val="0"/>
      </c:catAx>
      <c:valAx>
        <c:axId val="-173816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5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DATOS'!$B$1</c:f>
              <c:strCache>
                <c:ptCount val="1"/>
                <c:pt idx="0">
                  <c:v>Activos totales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DATOS'!$B$2:$B$11</c:f>
              <c:numCache>
                <c:formatCode>_("$"* #,##0.00_);_("$"* \(#,##0.00\);_("$"* "-"??_);_(@_)</c:formatCode>
                <c:ptCount val="10"/>
                <c:pt idx="0">
                  <c:v>130000</c:v>
                </c:pt>
                <c:pt idx="1">
                  <c:v>437790</c:v>
                </c:pt>
                <c:pt idx="2">
                  <c:v>1332037179</c:v>
                </c:pt>
                <c:pt idx="3">
                  <c:v>165178840</c:v>
                </c:pt>
                <c:pt idx="4">
                  <c:v>246081000</c:v>
                </c:pt>
                <c:pt idx="5">
                  <c:v>20985098</c:v>
                </c:pt>
                <c:pt idx="6">
                  <c:v>281473754</c:v>
                </c:pt>
                <c:pt idx="7">
                  <c:v>496627634</c:v>
                </c:pt>
                <c:pt idx="8">
                  <c:v>31412366</c:v>
                </c:pt>
                <c:pt idx="9">
                  <c:v>24405474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1-4344-AE93-4F472DF35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1738153344"/>
        <c:axId val="-1738152800"/>
      </c:barChart>
      <c:catAx>
        <c:axId val="-173815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52800"/>
        <c:crosses val="autoZero"/>
        <c:auto val="1"/>
        <c:lblAlgn val="ctr"/>
        <c:lblOffset val="100"/>
        <c:noMultiLvlLbl val="0"/>
      </c:catAx>
      <c:valAx>
        <c:axId val="-17381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DATOS'!$C$1</c:f>
              <c:strCache>
                <c:ptCount val="1"/>
                <c:pt idx="0">
                  <c:v>Activo circulante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DATOS'!$C$2:$C$11</c:f>
              <c:numCache>
                <c:formatCode>_("$"* #,##0.00_);_("$"* \(#,##0.00\);_("$"* "-"??_);_(@_)</c:formatCode>
                <c:ptCount val="10"/>
                <c:pt idx="0">
                  <c:v>90000</c:v>
                </c:pt>
                <c:pt idx="1">
                  <c:v>139365</c:v>
                </c:pt>
                <c:pt idx="2">
                  <c:v>349696690</c:v>
                </c:pt>
                <c:pt idx="3">
                  <c:v>127872973</c:v>
                </c:pt>
                <c:pt idx="4">
                  <c:v>90452201</c:v>
                </c:pt>
                <c:pt idx="5">
                  <c:v>5804383</c:v>
                </c:pt>
                <c:pt idx="6">
                  <c:v>89938076</c:v>
                </c:pt>
                <c:pt idx="7">
                  <c:v>107357139</c:v>
                </c:pt>
                <c:pt idx="8">
                  <c:v>16488797</c:v>
                </c:pt>
                <c:pt idx="9">
                  <c:v>6198469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E-47D2-9277-E82E4A6BF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8150080"/>
        <c:axId val="-1738151712"/>
      </c:barChart>
      <c:catAx>
        <c:axId val="-173815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51712"/>
        <c:crosses val="autoZero"/>
        <c:auto val="1"/>
        <c:lblAlgn val="ctr"/>
        <c:lblOffset val="100"/>
        <c:noMultiLvlLbl val="0"/>
      </c:catAx>
      <c:valAx>
        <c:axId val="-173815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5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DATOS'!$D$1</c:f>
              <c:strCache>
                <c:ptCount val="1"/>
                <c:pt idx="0">
                  <c:v>inventarios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DATOS'!$D$2:$D$11</c:f>
              <c:numCache>
                <c:formatCode>_("$"* #,##0.00_);_("$"* \(#,##0.00\);_("$"* "-"??_);_(@_)</c:formatCode>
                <c:ptCount val="10"/>
                <c:pt idx="0">
                  <c:v>403130</c:v>
                </c:pt>
                <c:pt idx="1">
                  <c:v>7459</c:v>
                </c:pt>
                <c:pt idx="2">
                  <c:v>36903080</c:v>
                </c:pt>
                <c:pt idx="3">
                  <c:v>7179784</c:v>
                </c:pt>
                <c:pt idx="4">
                  <c:v>47175000</c:v>
                </c:pt>
                <c:pt idx="5">
                  <c:v>112763</c:v>
                </c:pt>
                <c:pt idx="6">
                  <c:v>1628276</c:v>
                </c:pt>
                <c:pt idx="7">
                  <c:v>29067682</c:v>
                </c:pt>
                <c:pt idx="8">
                  <c:v>3008187</c:v>
                </c:pt>
                <c:pt idx="9">
                  <c:v>2437824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5-4A8A-8295-4BCE8A248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8140288"/>
        <c:axId val="-1738164224"/>
      </c:barChart>
      <c:catAx>
        <c:axId val="-173814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64224"/>
        <c:crosses val="autoZero"/>
        <c:auto val="1"/>
        <c:lblAlgn val="ctr"/>
        <c:lblOffset val="100"/>
        <c:noMultiLvlLbl val="0"/>
      </c:catAx>
      <c:valAx>
        <c:axId val="-173816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4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DATOS'!$E$1</c:f>
              <c:strCache>
                <c:ptCount val="1"/>
                <c:pt idx="0">
                  <c:v>Cuentas por cobrar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DATOS'!$E$2:$E$11</c:f>
              <c:numCache>
                <c:formatCode>_("$"* #,##0.00_);_("$"* \(#,##0.00\);_("$"* "-"??_);_(@_)</c:formatCode>
                <c:ptCount val="10"/>
                <c:pt idx="0">
                  <c:v>629311</c:v>
                </c:pt>
                <c:pt idx="1">
                  <c:v>29740</c:v>
                </c:pt>
                <c:pt idx="2">
                  <c:v>158336065</c:v>
                </c:pt>
                <c:pt idx="3">
                  <c:v>63836258</c:v>
                </c:pt>
                <c:pt idx="4">
                  <c:v>6382321</c:v>
                </c:pt>
                <c:pt idx="5">
                  <c:v>2426167</c:v>
                </c:pt>
                <c:pt idx="6">
                  <c:v>26096584</c:v>
                </c:pt>
                <c:pt idx="7">
                  <c:v>23869652</c:v>
                </c:pt>
                <c:pt idx="8">
                  <c:v>2206608</c:v>
                </c:pt>
                <c:pt idx="9">
                  <c:v>116768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F5-4F4F-AB05-2047CF457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8157696"/>
        <c:axId val="-1738156608"/>
      </c:barChart>
      <c:catAx>
        <c:axId val="-173815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56608"/>
        <c:crosses val="autoZero"/>
        <c:auto val="1"/>
        <c:lblAlgn val="ctr"/>
        <c:lblOffset val="100"/>
        <c:noMultiLvlLbl val="0"/>
      </c:catAx>
      <c:valAx>
        <c:axId val="-17381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5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DATOS'!$F$1</c:f>
              <c:strCache>
                <c:ptCount val="1"/>
                <c:pt idx="0">
                  <c:v>Activos fijos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DATOS'!$F$2:$F$11</c:f>
              <c:numCache>
                <c:formatCode>_("$"* #,##0.00_);_("$"* \(#,##0.00\);_("$"* "-"??_);_(@_)</c:formatCode>
                <c:ptCount val="10"/>
                <c:pt idx="0">
                  <c:v>40000</c:v>
                </c:pt>
                <c:pt idx="1">
                  <c:v>298425</c:v>
                </c:pt>
                <c:pt idx="2">
                  <c:v>982340489</c:v>
                </c:pt>
                <c:pt idx="3">
                  <c:v>37305867</c:v>
                </c:pt>
                <c:pt idx="4">
                  <c:v>125996000</c:v>
                </c:pt>
                <c:pt idx="5">
                  <c:v>225331</c:v>
                </c:pt>
                <c:pt idx="6">
                  <c:v>191535678</c:v>
                </c:pt>
                <c:pt idx="7">
                  <c:v>389270495</c:v>
                </c:pt>
                <c:pt idx="8">
                  <c:v>14923569</c:v>
                </c:pt>
                <c:pt idx="9">
                  <c:v>18207005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37-48FC-B341-955C008AE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8154432"/>
        <c:axId val="-1738151168"/>
      </c:barChart>
      <c:catAx>
        <c:axId val="-173815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51168"/>
        <c:crosses val="autoZero"/>
        <c:auto val="1"/>
        <c:lblAlgn val="ctr"/>
        <c:lblOffset val="100"/>
        <c:noMultiLvlLbl val="0"/>
      </c:catAx>
      <c:valAx>
        <c:axId val="-173815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5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DATOS'!$G$1</c:f>
              <c:strCache>
                <c:ptCount val="1"/>
                <c:pt idx="0">
                  <c:v>Pasivo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DATOS'!$G$2:$G$11</c:f>
              <c:numCache>
                <c:formatCode>_("$"* #,##0.00_);_("$"* \(#,##0.00\);_("$"* "-"??_);_(@_)</c:formatCode>
                <c:ptCount val="10"/>
                <c:pt idx="0">
                  <c:v>6099360</c:v>
                </c:pt>
                <c:pt idx="1">
                  <c:v>355272</c:v>
                </c:pt>
                <c:pt idx="2">
                  <c:v>1398877199</c:v>
                </c:pt>
                <c:pt idx="3">
                  <c:v>119681748</c:v>
                </c:pt>
                <c:pt idx="4">
                  <c:v>95834736</c:v>
                </c:pt>
                <c:pt idx="5">
                  <c:v>15279380</c:v>
                </c:pt>
                <c:pt idx="6">
                  <c:v>181951977</c:v>
                </c:pt>
                <c:pt idx="7">
                  <c:v>236144423</c:v>
                </c:pt>
                <c:pt idx="8">
                  <c:v>8429004</c:v>
                </c:pt>
                <c:pt idx="9">
                  <c:v>10498383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9FB-860F-8054FB8EE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8171296"/>
        <c:axId val="-1738162592"/>
      </c:barChart>
      <c:catAx>
        <c:axId val="-173817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62592"/>
        <c:crosses val="autoZero"/>
        <c:auto val="1"/>
        <c:lblAlgn val="ctr"/>
        <c:lblOffset val="100"/>
        <c:noMultiLvlLbl val="0"/>
      </c:catAx>
      <c:valAx>
        <c:axId val="-173816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7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DATOS'!$H$1</c:f>
              <c:strCache>
                <c:ptCount val="1"/>
                <c:pt idx="0">
                  <c:v>Pasivo a corto plazo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DATOS'!$H$2:$H$11</c:f>
              <c:numCache>
                <c:formatCode>_("$"* #,##0.00_);_("$"* \(#,##0.00\);_("$"* "-"??_);_(@_)</c:formatCode>
                <c:ptCount val="10"/>
                <c:pt idx="0">
                  <c:v>1987984</c:v>
                </c:pt>
                <c:pt idx="1">
                  <c:v>285783</c:v>
                </c:pt>
                <c:pt idx="2">
                  <c:v>242960392</c:v>
                </c:pt>
                <c:pt idx="3">
                  <c:v>94573483</c:v>
                </c:pt>
                <c:pt idx="4">
                  <c:v>75528051</c:v>
                </c:pt>
                <c:pt idx="5">
                  <c:v>4311915</c:v>
                </c:pt>
                <c:pt idx="6">
                  <c:v>48978050</c:v>
                </c:pt>
                <c:pt idx="7">
                  <c:v>78533408</c:v>
                </c:pt>
                <c:pt idx="8">
                  <c:v>6263900</c:v>
                </c:pt>
                <c:pt idx="9">
                  <c:v>2630171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D-4D29-841F-E43714651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8160960"/>
        <c:axId val="-1738145728"/>
      </c:barChart>
      <c:catAx>
        <c:axId val="-173816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45728"/>
        <c:crosses val="autoZero"/>
        <c:auto val="1"/>
        <c:lblAlgn val="ctr"/>
        <c:lblOffset val="100"/>
        <c:noMultiLvlLbl val="0"/>
      </c:catAx>
      <c:valAx>
        <c:axId val="-173814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6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DATOS'!$I$1</c:f>
              <c:strCache>
                <c:ptCount val="1"/>
                <c:pt idx="0">
                  <c:v>Pasivo a largo plazo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DATOS'!$I$2:$I$11</c:f>
              <c:numCache>
                <c:formatCode>_("$"* #,##0.00_);_("$"* \(#,##0.00\);_("$"* "-"??_);_(@_)</c:formatCode>
                <c:ptCount val="10"/>
                <c:pt idx="0">
                  <c:v>4111376</c:v>
                </c:pt>
                <c:pt idx="1">
                  <c:v>69489</c:v>
                </c:pt>
                <c:pt idx="2">
                  <c:v>1155916807</c:v>
                </c:pt>
                <c:pt idx="3">
                  <c:v>25108265</c:v>
                </c:pt>
                <c:pt idx="4">
                  <c:v>20306683</c:v>
                </c:pt>
                <c:pt idx="5">
                  <c:v>10967465</c:v>
                </c:pt>
                <c:pt idx="6">
                  <c:v>132973927</c:v>
                </c:pt>
                <c:pt idx="7">
                  <c:v>157611015</c:v>
                </c:pt>
                <c:pt idx="8">
                  <c:v>2165104</c:v>
                </c:pt>
                <c:pt idx="9">
                  <c:v>7868212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7-432D-850B-6214083BD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8146272"/>
        <c:axId val="-1738166400"/>
      </c:barChart>
      <c:catAx>
        <c:axId val="-173814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66400"/>
        <c:crosses val="autoZero"/>
        <c:auto val="1"/>
        <c:lblAlgn val="ctr"/>
        <c:lblOffset val="100"/>
        <c:noMultiLvlLbl val="0"/>
      </c:catAx>
      <c:valAx>
        <c:axId val="-173816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4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DATOS'!$J$1</c:f>
              <c:strCache>
                <c:ptCount val="1"/>
                <c:pt idx="0">
                  <c:v>Capital social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DATOS'!$J$2:$J$11</c:f>
              <c:numCache>
                <c:formatCode>_("$"* #,##0.00_);_("$"* \(#,##0.00\);_("$"* "-"??_);_(@_)</c:formatCode>
                <c:ptCount val="10"/>
                <c:pt idx="0">
                  <c:v>528038</c:v>
                </c:pt>
                <c:pt idx="1">
                  <c:v>182447</c:v>
                </c:pt>
                <c:pt idx="2">
                  <c:v>3546159</c:v>
                </c:pt>
                <c:pt idx="3">
                  <c:v>566024</c:v>
                </c:pt>
                <c:pt idx="4">
                  <c:v>42573955</c:v>
                </c:pt>
                <c:pt idx="5">
                  <c:v>6728342</c:v>
                </c:pt>
                <c:pt idx="6">
                  <c:v>4978126</c:v>
                </c:pt>
                <c:pt idx="7">
                  <c:v>3040003</c:v>
                </c:pt>
                <c:pt idx="8">
                  <c:v>1492652</c:v>
                </c:pt>
                <c:pt idx="9">
                  <c:v>575626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3-446F-8BED-BDBADAC29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8141376"/>
        <c:axId val="-1738140832"/>
      </c:barChart>
      <c:catAx>
        <c:axId val="-173814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40832"/>
        <c:crosses val="autoZero"/>
        <c:auto val="1"/>
        <c:lblAlgn val="ctr"/>
        <c:lblOffset val="100"/>
        <c:noMultiLvlLbl val="0"/>
      </c:catAx>
      <c:valAx>
        <c:axId val="-173814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814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DATOS'!$K$1</c:f>
              <c:strCache>
                <c:ptCount val="1"/>
                <c:pt idx="0">
                  <c:v>Capital contable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DATOS'!$K$2:$K$11</c:f>
              <c:numCache>
                <c:formatCode>_("$"* #,##0.00_);_("$"* \(#,##0.00\);_("$"* "-"??_);_(@_)</c:formatCode>
                <c:ptCount val="10"/>
                <c:pt idx="0">
                  <c:v>3307749</c:v>
                </c:pt>
                <c:pt idx="1">
                  <c:v>82518</c:v>
                </c:pt>
                <c:pt idx="2">
                  <c:v>-66840020</c:v>
                </c:pt>
                <c:pt idx="3">
                  <c:v>45497092</c:v>
                </c:pt>
                <c:pt idx="4">
                  <c:v>150223000</c:v>
                </c:pt>
                <c:pt idx="5">
                  <c:v>5705718</c:v>
                </c:pt>
                <c:pt idx="6">
                  <c:v>99521777</c:v>
                </c:pt>
                <c:pt idx="7">
                  <c:v>260483211</c:v>
                </c:pt>
                <c:pt idx="8">
                  <c:v>22983362</c:v>
                </c:pt>
                <c:pt idx="9">
                  <c:v>13907091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8-4A41-ACA6-7ACB9815A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1309456"/>
        <c:axId val="-61304016"/>
      </c:barChart>
      <c:catAx>
        <c:axId val="-6130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1304016"/>
        <c:crosses val="autoZero"/>
        <c:auto val="1"/>
        <c:lblAlgn val="ctr"/>
        <c:lblOffset val="100"/>
        <c:noMultiLvlLbl val="0"/>
      </c:catAx>
      <c:valAx>
        <c:axId val="-6130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130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DATOS'!$L$1</c:f>
              <c:strCache>
                <c:ptCount val="1"/>
                <c:pt idx="0">
                  <c:v>Ventas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DATOS'!$L$2:$L$11</c:f>
              <c:numCache>
                <c:formatCode>_("$"* #,##0.00_);_("$"* \(#,##0.00\);_("$"* "-"??_);_(@_)</c:formatCode>
                <c:ptCount val="10"/>
                <c:pt idx="0">
                  <c:v>10668771</c:v>
                </c:pt>
                <c:pt idx="1">
                  <c:v>897333</c:v>
                </c:pt>
                <c:pt idx="2">
                  <c:v>1089921331</c:v>
                </c:pt>
                <c:pt idx="3">
                  <c:v>69863257</c:v>
                </c:pt>
                <c:pt idx="4">
                  <c:v>437659000</c:v>
                </c:pt>
                <c:pt idx="5">
                  <c:v>437659</c:v>
                </c:pt>
                <c:pt idx="6">
                  <c:v>88051829</c:v>
                </c:pt>
                <c:pt idx="7">
                  <c:v>363618125</c:v>
                </c:pt>
                <c:pt idx="8">
                  <c:v>11630439</c:v>
                </c:pt>
                <c:pt idx="9">
                  <c:v>16356291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83-40D8-B203-5C59E8F84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1151520"/>
        <c:axId val="-61194208"/>
      </c:barChart>
      <c:catAx>
        <c:axId val="-6115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1194208"/>
        <c:crosses val="autoZero"/>
        <c:auto val="1"/>
        <c:lblAlgn val="ctr"/>
        <c:lblOffset val="100"/>
        <c:noMultiLvlLbl val="0"/>
      </c:catAx>
      <c:valAx>
        <c:axId val="-6119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115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DATOS'!$M$1</c:f>
              <c:strCache>
                <c:ptCount val="1"/>
                <c:pt idx="0">
                  <c:v>Costo de Ventas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DATOS'!$M$2:$M$11</c:f>
              <c:numCache>
                <c:formatCode>_("$"* #,##0.00_);_("$"* \(#,##0.00\);_("$"* "-"??_);_(@_)</c:formatCode>
                <c:ptCount val="10"/>
                <c:pt idx="0">
                  <c:v>3787599</c:v>
                </c:pt>
                <c:pt idx="1">
                  <c:v>507988</c:v>
                </c:pt>
                <c:pt idx="2">
                  <c:v>561134995</c:v>
                </c:pt>
                <c:pt idx="3">
                  <c:v>30160854</c:v>
                </c:pt>
                <c:pt idx="4">
                  <c:v>343368796</c:v>
                </c:pt>
                <c:pt idx="5">
                  <c:v>3097105</c:v>
                </c:pt>
                <c:pt idx="6">
                  <c:v>47226544</c:v>
                </c:pt>
                <c:pt idx="7">
                  <c:v>228732070</c:v>
                </c:pt>
                <c:pt idx="8">
                  <c:v>7098653</c:v>
                </c:pt>
                <c:pt idx="9">
                  <c:v>9577471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C-4AE4-AEDC-FDE4326C6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3845424"/>
        <c:axId val="-1733861744"/>
      </c:barChart>
      <c:catAx>
        <c:axId val="-173384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61744"/>
        <c:crosses val="autoZero"/>
        <c:auto val="1"/>
        <c:lblAlgn val="ctr"/>
        <c:lblOffset val="100"/>
        <c:noMultiLvlLbl val="0"/>
      </c:catAx>
      <c:valAx>
        <c:axId val="-17338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4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DATOS'!$N$1</c:f>
              <c:strCache>
                <c:ptCount val="1"/>
                <c:pt idx="0">
                  <c:v>Utilidad bruta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DATOS'!$N$2:$N$11</c:f>
              <c:numCache>
                <c:formatCode>_("$"* #,##0.00_);_("$"* \(#,##0.00\);_("$"* "-"??_);_(@_)</c:formatCode>
                <c:ptCount val="10"/>
                <c:pt idx="0">
                  <c:v>6881172</c:v>
                </c:pt>
                <c:pt idx="1">
                  <c:v>389345</c:v>
                </c:pt>
                <c:pt idx="2">
                  <c:v>528786376</c:v>
                </c:pt>
                <c:pt idx="3">
                  <c:v>39702403</c:v>
                </c:pt>
                <c:pt idx="4">
                  <c:v>97619000</c:v>
                </c:pt>
                <c:pt idx="5">
                  <c:v>1881000.43</c:v>
                </c:pt>
                <c:pt idx="6">
                  <c:v>5257554</c:v>
                </c:pt>
                <c:pt idx="7">
                  <c:v>134886055</c:v>
                </c:pt>
                <c:pt idx="8">
                  <c:v>4531786</c:v>
                </c:pt>
                <c:pt idx="9">
                  <c:v>6778820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57-4B35-B1FB-E3F2454C9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3855760"/>
        <c:axId val="-1733844880"/>
      </c:barChart>
      <c:catAx>
        <c:axId val="-173385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44880"/>
        <c:crosses val="autoZero"/>
        <c:auto val="1"/>
        <c:lblAlgn val="ctr"/>
        <c:lblOffset val="100"/>
        <c:noMultiLvlLbl val="0"/>
      </c:catAx>
      <c:valAx>
        <c:axId val="-173384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5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DATOS'!$O$1</c:f>
              <c:strCache>
                <c:ptCount val="1"/>
                <c:pt idx="0">
                  <c:v>Utilidad de operación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DATOS'!$O$2:$O$11</c:f>
              <c:numCache>
                <c:formatCode>_("$"* #,##0.00_);_("$"* \(#,##0.00\);_("$"* "-"??_);_(@_)</c:formatCode>
                <c:ptCount val="10"/>
                <c:pt idx="0">
                  <c:v>535677</c:v>
                </c:pt>
                <c:pt idx="1">
                  <c:v>29043</c:v>
                </c:pt>
                <c:pt idx="2">
                  <c:v>428277376</c:v>
                </c:pt>
                <c:pt idx="3">
                  <c:v>9134726</c:v>
                </c:pt>
                <c:pt idx="4">
                  <c:v>34716000</c:v>
                </c:pt>
                <c:pt idx="5">
                  <c:v>-98000.92</c:v>
                </c:pt>
                <c:pt idx="6">
                  <c:v>18745125</c:v>
                </c:pt>
                <c:pt idx="7">
                  <c:v>25990148</c:v>
                </c:pt>
                <c:pt idx="8">
                  <c:v>1366070</c:v>
                </c:pt>
                <c:pt idx="9">
                  <c:v>2035961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27-4F15-88AE-08D44476F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3860112"/>
        <c:axId val="-1733863920"/>
      </c:barChart>
      <c:catAx>
        <c:axId val="-173386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63920"/>
        <c:crosses val="autoZero"/>
        <c:auto val="1"/>
        <c:lblAlgn val="ctr"/>
        <c:lblOffset val="100"/>
        <c:noMultiLvlLbl val="0"/>
      </c:catAx>
      <c:valAx>
        <c:axId val="-173386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6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DATOS'!$P$1</c:f>
              <c:strCache>
                <c:ptCount val="1"/>
                <c:pt idx="0">
                  <c:v>Utilidad del ejercicio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DATOS'!$A$2:$A$11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PEMEX</c:v>
                </c:pt>
                <c:pt idx="3">
                  <c:v>ELEKTRA</c:v>
                </c:pt>
                <c:pt idx="4">
                  <c:v>WALMEX</c:v>
                </c:pt>
                <c:pt idx="5">
                  <c:v>AXTEL</c:v>
                </c:pt>
                <c:pt idx="6">
                  <c:v>TELEVISA</c:v>
                </c:pt>
                <c:pt idx="7">
                  <c:v>FEMSA</c:v>
                </c:pt>
                <c:pt idx="8">
                  <c:v>LALA</c:v>
                </c:pt>
                <c:pt idx="9">
                  <c:v>HERDEZ</c:v>
                </c:pt>
              </c:strCache>
            </c:strRef>
          </c:cat>
          <c:val>
            <c:numRef>
              <c:f>'BASE DATOS'!$P$2:$P$11</c:f>
              <c:numCache>
                <c:formatCode>_("$"* #,##0.00_);_("$"* \(#,##0.00\);_("$"* "-"??_);_(@_)</c:formatCode>
                <c:ptCount val="10"/>
                <c:pt idx="0">
                  <c:v>202962</c:v>
                </c:pt>
                <c:pt idx="1">
                  <c:v>15613</c:v>
                </c:pt>
                <c:pt idx="2">
                  <c:v>-94662018</c:v>
                </c:pt>
                <c:pt idx="3">
                  <c:v>-19219203</c:v>
                </c:pt>
                <c:pt idx="4">
                  <c:v>30426000</c:v>
                </c:pt>
                <c:pt idx="5">
                  <c:v>-186000.59</c:v>
                </c:pt>
                <c:pt idx="6">
                  <c:v>12325450</c:v>
                </c:pt>
                <c:pt idx="7">
                  <c:v>24732863</c:v>
                </c:pt>
                <c:pt idx="8">
                  <c:v>934070</c:v>
                </c:pt>
                <c:pt idx="9">
                  <c:v>1292500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E2-4119-82F8-4BD1C63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3842160"/>
        <c:axId val="-1733843248"/>
      </c:barChart>
      <c:catAx>
        <c:axId val="-173384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43248"/>
        <c:crosses val="autoZero"/>
        <c:auto val="1"/>
        <c:lblAlgn val="ctr"/>
        <c:lblOffset val="100"/>
        <c:noMultiLvlLbl val="0"/>
      </c:catAx>
      <c:valAx>
        <c:axId val="-173384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4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'RANKING LIQ'!$E$2</c:f>
              <c:strCache>
                <c:ptCount val="1"/>
                <c:pt idx="0">
                  <c:v>CALIF.LIQ.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'RANKING LIQ'!$B$3:$B$12</c:f>
              <c:strCache>
                <c:ptCount val="10"/>
                <c:pt idx="0">
                  <c:v>LALA</c:v>
                </c:pt>
                <c:pt idx="1">
                  <c:v>TELEVISA</c:v>
                </c:pt>
                <c:pt idx="2">
                  <c:v>HERDEZ</c:v>
                </c:pt>
                <c:pt idx="3">
                  <c:v>PEMEX</c:v>
                </c:pt>
                <c:pt idx="4">
                  <c:v>AXTEL</c:v>
                </c:pt>
                <c:pt idx="5">
                  <c:v>ELEKTRA</c:v>
                </c:pt>
                <c:pt idx="6">
                  <c:v>FEMSA</c:v>
                </c:pt>
                <c:pt idx="7">
                  <c:v>WALMEX</c:v>
                </c:pt>
                <c:pt idx="8">
                  <c:v>VOLARIS</c:v>
                </c:pt>
                <c:pt idx="9">
                  <c:v>ALSEA</c:v>
                </c:pt>
              </c:strCache>
            </c:strRef>
          </c:cat>
          <c:val>
            <c:numRef>
              <c:f>'RANKING LIQ'!$E$3:$E$12</c:f>
              <c:numCache>
                <c:formatCode>0.00</c:formatCode>
                <c:ptCount val="10"/>
                <c:pt idx="0">
                  <c:v>10</c:v>
                </c:pt>
                <c:pt idx="1">
                  <c:v>7.7470630612604525</c:v>
                </c:pt>
                <c:pt idx="2">
                  <c:v>7.6828013628075187</c:v>
                </c:pt>
                <c:pt idx="3">
                  <c:v>5.7506911090633848</c:v>
                </c:pt>
                <c:pt idx="4">
                  <c:v>5.6745668532010329</c:v>
                </c:pt>
                <c:pt idx="5">
                  <c:v>5.5728686031163441</c:v>
                </c:pt>
                <c:pt idx="6">
                  <c:v>4.8846166305505916</c:v>
                </c:pt>
                <c:pt idx="7">
                  <c:v>3.5116526523189924</c:v>
                </c:pt>
                <c:pt idx="8">
                  <c:v>2.0132302325119764</c:v>
                </c:pt>
                <c:pt idx="9">
                  <c:v>-0.32514831883771589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ED-45F1-9B86-47806703B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3840528"/>
        <c:axId val="-1733850320"/>
      </c:barChart>
      <c:catAx>
        <c:axId val="-173384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50320"/>
        <c:crosses val="autoZero"/>
        <c:auto val="1"/>
        <c:lblAlgn val="ctr"/>
        <c:lblOffset val="100"/>
        <c:noMultiLvlLbl val="0"/>
      </c:catAx>
      <c:valAx>
        <c:axId val="-173385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4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'RANKING RENT'!$H$2</c:f>
              <c:strCache>
                <c:ptCount val="1"/>
                <c:pt idx="0">
                  <c:v>CAL.RENT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'RANKING RENT'!$B$3:$B$12</c:f>
              <c:strCache>
                <c:ptCount val="10"/>
                <c:pt idx="0">
                  <c:v>ALSEA</c:v>
                </c:pt>
                <c:pt idx="1">
                  <c:v>PEMEX</c:v>
                </c:pt>
                <c:pt idx="2">
                  <c:v>WALMEX</c:v>
                </c:pt>
                <c:pt idx="3">
                  <c:v>VOLARIS</c:v>
                </c:pt>
                <c:pt idx="4">
                  <c:v>TELEVISA</c:v>
                </c:pt>
                <c:pt idx="5">
                  <c:v>HERDEZ</c:v>
                </c:pt>
                <c:pt idx="6">
                  <c:v>FEMSA</c:v>
                </c:pt>
                <c:pt idx="7">
                  <c:v>LALA</c:v>
                </c:pt>
                <c:pt idx="8">
                  <c:v>AXTEL</c:v>
                </c:pt>
                <c:pt idx="9">
                  <c:v>ELEKTRA</c:v>
                </c:pt>
              </c:strCache>
            </c:strRef>
          </c:cat>
          <c:val>
            <c:numRef>
              <c:f>'RANKING RENT'!$H$3:$H$12</c:f>
              <c:numCache>
                <c:formatCode>0.00</c:formatCode>
                <c:ptCount val="10"/>
                <c:pt idx="0">
                  <c:v>6.1733017670580965</c:v>
                </c:pt>
                <c:pt idx="1">
                  <c:v>3.7268889445337163</c:v>
                </c:pt>
                <c:pt idx="2">
                  <c:v>1.0472111463991027</c:v>
                </c:pt>
                <c:pt idx="3">
                  <c:v>0.67144691981334115</c:v>
                </c:pt>
                <c:pt idx="4">
                  <c:v>0.51807319563323839</c:v>
                </c:pt>
                <c:pt idx="5">
                  <c:v>0.46601892348567453</c:v>
                </c:pt>
                <c:pt idx="6">
                  <c:v>0.45956507541591929</c:v>
                </c:pt>
                <c:pt idx="7">
                  <c:v>0.22906235565648103</c:v>
                </c:pt>
                <c:pt idx="8">
                  <c:v>-0.12613443913980465</c:v>
                </c:pt>
                <c:pt idx="9">
                  <c:v>-1.6402459890841139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6B-4A32-9F23-A8236D280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3850864"/>
        <c:axId val="-1733839984"/>
      </c:barChart>
      <c:catAx>
        <c:axId val="-173385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39984"/>
        <c:crosses val="autoZero"/>
        <c:auto val="1"/>
        <c:lblAlgn val="ctr"/>
        <c:lblOffset val="100"/>
        <c:noMultiLvlLbl val="0"/>
      </c:catAx>
      <c:valAx>
        <c:axId val="-17338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5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'RANKING DEUDA'!$K$2</c:f>
              <c:strCache>
                <c:ptCount val="1"/>
                <c:pt idx="0">
                  <c:v>CAL. DEUDA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'RANKING DEUDA'!$B$3:$B$12</c:f>
              <c:strCache>
                <c:ptCount val="10"/>
                <c:pt idx="0">
                  <c:v>ALSEA</c:v>
                </c:pt>
                <c:pt idx="1">
                  <c:v>VOLARIS</c:v>
                </c:pt>
                <c:pt idx="2">
                  <c:v>AXTEL</c:v>
                </c:pt>
                <c:pt idx="3">
                  <c:v>ELEKTRA</c:v>
                </c:pt>
                <c:pt idx="4">
                  <c:v>TELEVISA</c:v>
                </c:pt>
                <c:pt idx="5">
                  <c:v>FEMSA</c:v>
                </c:pt>
                <c:pt idx="6">
                  <c:v>HERDEZ</c:v>
                </c:pt>
                <c:pt idx="7">
                  <c:v>WALMEX</c:v>
                </c:pt>
                <c:pt idx="8">
                  <c:v>LALA</c:v>
                </c:pt>
                <c:pt idx="9">
                  <c:v>PEMEX</c:v>
                </c:pt>
              </c:strCache>
            </c:strRef>
          </c:cat>
          <c:val>
            <c:numRef>
              <c:f>'RANKING DEUDA'!$K$3:$K$12</c:f>
              <c:numCache>
                <c:formatCode>0.00</c:formatCode>
                <c:ptCount val="10"/>
                <c:pt idx="0">
                  <c:v>7.9990201728958592</c:v>
                </c:pt>
                <c:pt idx="1">
                  <c:v>3.6124262138581247</c:v>
                </c:pt>
                <c:pt idx="2">
                  <c:v>2.2778348874354255</c:v>
                </c:pt>
                <c:pt idx="3">
                  <c:v>2.2388343477820078</c:v>
                </c:pt>
                <c:pt idx="4">
                  <c:v>1.5758140179158056</c:v>
                </c:pt>
                <c:pt idx="5">
                  <c:v>0.80285141650343506</c:v>
                </c:pt>
                <c:pt idx="6">
                  <c:v>0.67327455912395895</c:v>
                </c:pt>
                <c:pt idx="7">
                  <c:v>0.57256487276294599</c:v>
                </c:pt>
                <c:pt idx="8">
                  <c:v>0.33531352234962364</c:v>
                </c:pt>
                <c:pt idx="9">
                  <c:v>-16.868209401457328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EA3-8174-B58BF76E8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3844336"/>
        <c:axId val="-1733849232"/>
      </c:barChart>
      <c:catAx>
        <c:axId val="-173384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49232"/>
        <c:crosses val="autoZero"/>
        <c:auto val="1"/>
        <c:lblAlgn val="ctr"/>
        <c:lblOffset val="100"/>
        <c:noMultiLvlLbl val="0"/>
      </c:catAx>
      <c:valAx>
        <c:axId val="-173384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4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'RANKING UTILIDAD'!$N$2</c:f>
              <c:strCache>
                <c:ptCount val="1"/>
                <c:pt idx="0">
                  <c:v>CAL. UT. ACT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'RANKING UTILIDAD'!$B$3:$B$12</c:f>
              <c:strCache>
                <c:ptCount val="10"/>
                <c:pt idx="0">
                  <c:v>VOLARIS</c:v>
                </c:pt>
                <c:pt idx="1">
                  <c:v>ALSEA</c:v>
                </c:pt>
                <c:pt idx="2">
                  <c:v>TELEVISA</c:v>
                </c:pt>
                <c:pt idx="3">
                  <c:v>AXTEL</c:v>
                </c:pt>
                <c:pt idx="4">
                  <c:v>PEMEX</c:v>
                </c:pt>
                <c:pt idx="5">
                  <c:v>FEMSA</c:v>
                </c:pt>
                <c:pt idx="6">
                  <c:v>WALMEX</c:v>
                </c:pt>
                <c:pt idx="7">
                  <c:v>ELEKTRA</c:v>
                </c:pt>
                <c:pt idx="8">
                  <c:v>HERDEZ</c:v>
                </c:pt>
                <c:pt idx="9">
                  <c:v>LALA</c:v>
                </c:pt>
              </c:strCache>
            </c:strRef>
          </c:cat>
          <c:val>
            <c:numRef>
              <c:f>'RANKING UTILIDAD'!$N$3:$N$12</c:f>
              <c:numCache>
                <c:formatCode>0.00</c:formatCode>
                <c:ptCount val="10"/>
                <c:pt idx="0">
                  <c:v>7.0749269433754858</c:v>
                </c:pt>
                <c:pt idx="1">
                  <c:v>3.96570408521066</c:v>
                </c:pt>
                <c:pt idx="2">
                  <c:v>2.9925820126950611</c:v>
                </c:pt>
                <c:pt idx="3">
                  <c:v>2.8237859403955348</c:v>
                </c:pt>
                <c:pt idx="4">
                  <c:v>1.5928063418775762</c:v>
                </c:pt>
                <c:pt idx="5">
                  <c:v>0.8355661772057783</c:v>
                </c:pt>
                <c:pt idx="6">
                  <c:v>0.81313906759489485</c:v>
                </c:pt>
                <c:pt idx="7">
                  <c:v>0.44723620775618267</c:v>
                </c:pt>
                <c:pt idx="8">
                  <c:v>0.42830582704781739</c:v>
                </c:pt>
                <c:pt idx="9">
                  <c:v>0.25608183321877548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78-4217-A509-A0148E7E8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3864464"/>
        <c:axId val="-1733862832"/>
      </c:barChart>
      <c:catAx>
        <c:axId val="-173386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62832"/>
        <c:crosses val="autoZero"/>
        <c:auto val="1"/>
        <c:lblAlgn val="ctr"/>
        <c:lblOffset val="100"/>
        <c:noMultiLvlLbl val="0"/>
      </c:catAx>
      <c:valAx>
        <c:axId val="-173386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6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'RANKING GENERAL'!$O$2</c:f>
              <c:strCache>
                <c:ptCount val="1"/>
                <c:pt idx="0">
                  <c:v>CALIFICACION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'RANKING GENERAL'!$B$3:$B$12</c:f>
              <c:strCache>
                <c:ptCount val="10"/>
                <c:pt idx="0">
                  <c:v>ALSEA</c:v>
                </c:pt>
                <c:pt idx="1">
                  <c:v>TELEVISA</c:v>
                </c:pt>
                <c:pt idx="2">
                  <c:v>VOLARIS</c:v>
                </c:pt>
                <c:pt idx="3">
                  <c:v>LALA</c:v>
                </c:pt>
                <c:pt idx="4">
                  <c:v>AXTEL</c:v>
                </c:pt>
                <c:pt idx="5">
                  <c:v>HERDEZ</c:v>
                </c:pt>
                <c:pt idx="6">
                  <c:v>FEMSA</c:v>
                </c:pt>
                <c:pt idx="7">
                  <c:v>WALMEX</c:v>
                </c:pt>
                <c:pt idx="8">
                  <c:v>ELEKTRA</c:v>
                </c:pt>
                <c:pt idx="9">
                  <c:v>PEMEX</c:v>
                </c:pt>
              </c:strCache>
            </c:strRef>
          </c:cat>
          <c:val>
            <c:numRef>
              <c:f>'RANKING GENERAL'!$O$3:$O$12</c:f>
              <c:numCache>
                <c:formatCode>0.00</c:formatCode>
                <c:ptCount val="10"/>
                <c:pt idx="0">
                  <c:v>5.2005675034455194</c:v>
                </c:pt>
                <c:pt idx="1">
                  <c:v>2.5286442971496337</c:v>
                </c:pt>
                <c:pt idx="2">
                  <c:v>2.4624453729227174</c:v>
                </c:pt>
                <c:pt idx="3">
                  <c:v>2.2178271822893572</c:v>
                </c:pt>
                <c:pt idx="4">
                  <c:v>2.0501886552544661</c:v>
                </c:pt>
                <c:pt idx="5">
                  <c:v>1.9677807923977431</c:v>
                </c:pt>
                <c:pt idx="6">
                  <c:v>1.4851613989480945</c:v>
                </c:pt>
                <c:pt idx="7">
                  <c:v>1.3742983576118131</c:v>
                </c:pt>
                <c:pt idx="8">
                  <c:v>1.174849250099844</c:v>
                </c:pt>
                <c:pt idx="9">
                  <c:v>-2.260288386623277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C9-4ADD-ACDF-FB80A67AD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33848144"/>
        <c:axId val="-1733843792"/>
      </c:barChart>
      <c:catAx>
        <c:axId val="-173384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43792"/>
        <c:crosses val="autoZero"/>
        <c:auto val="1"/>
        <c:lblAlgn val="ctr"/>
        <c:lblOffset val="100"/>
        <c:noMultiLvlLbl val="0"/>
      </c:catAx>
      <c:valAx>
        <c:axId val="-173384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384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NICIO!A1"/><Relationship Id="rId3" Type="http://schemas.openxmlformats.org/officeDocument/2006/relationships/hyperlink" Target="#'RAZONES FINANCIERAS'!A1"/><Relationship Id="rId7" Type="http://schemas.openxmlformats.org/officeDocument/2006/relationships/hyperlink" Target="#'RANKING GENERAL'!A1"/><Relationship Id="rId2" Type="http://schemas.openxmlformats.org/officeDocument/2006/relationships/hyperlink" Target="#'RANKING LIQ'!A1"/><Relationship Id="rId1" Type="http://schemas.openxmlformats.org/officeDocument/2006/relationships/hyperlink" Target="#GRAFICAS!A1"/><Relationship Id="rId6" Type="http://schemas.openxmlformats.org/officeDocument/2006/relationships/hyperlink" Target="#'RANKING DEUDA'!A1"/><Relationship Id="rId5" Type="http://schemas.openxmlformats.org/officeDocument/2006/relationships/hyperlink" Target="#'RANKING UTILIDAD'!A1"/><Relationship Id="rId4" Type="http://schemas.openxmlformats.org/officeDocument/2006/relationships/hyperlink" Target="#'RANKING R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RANKING GENERAL'!A1"/><Relationship Id="rId3" Type="http://schemas.openxmlformats.org/officeDocument/2006/relationships/hyperlink" Target="#'RANKING LIQ'!A1"/><Relationship Id="rId7" Type="http://schemas.openxmlformats.org/officeDocument/2006/relationships/hyperlink" Target="#'RANKING DEUDA'!A1"/><Relationship Id="rId2" Type="http://schemas.openxmlformats.org/officeDocument/2006/relationships/hyperlink" Target="#GRAFICAS!A1"/><Relationship Id="rId1" Type="http://schemas.openxmlformats.org/officeDocument/2006/relationships/hyperlink" Target="#'BASE DATOS'!A1"/><Relationship Id="rId6" Type="http://schemas.openxmlformats.org/officeDocument/2006/relationships/hyperlink" Target="#'RANKING UTILIDAD'!A1"/><Relationship Id="rId5" Type="http://schemas.openxmlformats.org/officeDocument/2006/relationships/hyperlink" Target="#'RANKING RENT'!A1"/><Relationship Id="rId4" Type="http://schemas.openxmlformats.org/officeDocument/2006/relationships/hyperlink" Target="#'RAZONES FINANCIERAS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INICIO!A1"/><Relationship Id="rId3" Type="http://schemas.openxmlformats.org/officeDocument/2006/relationships/hyperlink" Target="#'RANKING LIQ'!A1"/><Relationship Id="rId7" Type="http://schemas.openxmlformats.org/officeDocument/2006/relationships/hyperlink" Target="#'RANKING GENERAL'!A1"/><Relationship Id="rId2" Type="http://schemas.openxmlformats.org/officeDocument/2006/relationships/hyperlink" Target="#GRAFICAS!A1"/><Relationship Id="rId1" Type="http://schemas.openxmlformats.org/officeDocument/2006/relationships/hyperlink" Target="#'BASE DATOS'!A1"/><Relationship Id="rId6" Type="http://schemas.openxmlformats.org/officeDocument/2006/relationships/hyperlink" Target="#'RANKING DEUDA'!A1"/><Relationship Id="rId5" Type="http://schemas.openxmlformats.org/officeDocument/2006/relationships/hyperlink" Target="#'RANKING UTILIDAD'!A1"/><Relationship Id="rId4" Type="http://schemas.openxmlformats.org/officeDocument/2006/relationships/hyperlink" Target="#'RANKING RENT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hyperlink" Target="#INICIO!A1"/><Relationship Id="rId3" Type="http://schemas.openxmlformats.org/officeDocument/2006/relationships/chart" Target="../charts/chart3.xml"/><Relationship Id="rId21" Type="http://schemas.openxmlformats.org/officeDocument/2006/relationships/hyperlink" Target="#'RANKING LIQ'!A1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hyperlink" Target="#'RANKING DEUDA'!A1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hyperlink" Target="#'BASE DATOS'!A1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hyperlink" Target="#'RANKING UTILIDAD'!A1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hyperlink" Target="#'RANKING RENT'!A1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hyperlink" Target="#'RAZONES FINANCIERAS'!A1"/><Relationship Id="rId27" Type="http://schemas.openxmlformats.org/officeDocument/2006/relationships/hyperlink" Target="#'RANKING GENERAL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RANKING DEUDA'!A1"/><Relationship Id="rId3" Type="http://schemas.openxmlformats.org/officeDocument/2006/relationships/hyperlink" Target="#'BASE DATOS'!A1"/><Relationship Id="rId7" Type="http://schemas.openxmlformats.org/officeDocument/2006/relationships/hyperlink" Target="#'RANKING UTILIDAD'!A1"/><Relationship Id="rId2" Type="http://schemas.openxmlformats.org/officeDocument/2006/relationships/hyperlink" Target="#INICIO!A1"/><Relationship Id="rId1" Type="http://schemas.openxmlformats.org/officeDocument/2006/relationships/chart" Target="../charts/chart20.xml"/><Relationship Id="rId6" Type="http://schemas.openxmlformats.org/officeDocument/2006/relationships/hyperlink" Target="#'RANKING RENT'!A1"/><Relationship Id="rId5" Type="http://schemas.openxmlformats.org/officeDocument/2006/relationships/hyperlink" Target="#'RAZONES FINANCIERAS'!A1"/><Relationship Id="rId4" Type="http://schemas.openxmlformats.org/officeDocument/2006/relationships/hyperlink" Target="#GRAFICAS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RANKING DEUDA'!A1"/><Relationship Id="rId3" Type="http://schemas.openxmlformats.org/officeDocument/2006/relationships/hyperlink" Target="#'BASE DATOS'!A1"/><Relationship Id="rId7" Type="http://schemas.openxmlformats.org/officeDocument/2006/relationships/hyperlink" Target="#'RANKING UTILIDAD'!A1"/><Relationship Id="rId2" Type="http://schemas.openxmlformats.org/officeDocument/2006/relationships/hyperlink" Target="#INICIO!A1"/><Relationship Id="rId1" Type="http://schemas.openxmlformats.org/officeDocument/2006/relationships/chart" Target="../charts/chart21.xml"/><Relationship Id="rId6" Type="http://schemas.openxmlformats.org/officeDocument/2006/relationships/hyperlink" Target="#'RAZONES FINANCIERAS'!A1"/><Relationship Id="rId5" Type="http://schemas.openxmlformats.org/officeDocument/2006/relationships/hyperlink" Target="#'RANKING LIQ'!A1"/><Relationship Id="rId4" Type="http://schemas.openxmlformats.org/officeDocument/2006/relationships/hyperlink" Target="#GRAFICAS!A1"/><Relationship Id="rId9" Type="http://schemas.openxmlformats.org/officeDocument/2006/relationships/hyperlink" Target="#'RANKING GENERAL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RANKING UTILIDAD'!A1"/><Relationship Id="rId3" Type="http://schemas.openxmlformats.org/officeDocument/2006/relationships/hyperlink" Target="#'BASE DATOS'!A1"/><Relationship Id="rId7" Type="http://schemas.openxmlformats.org/officeDocument/2006/relationships/hyperlink" Target="#'RANKING RENT'!A1"/><Relationship Id="rId2" Type="http://schemas.openxmlformats.org/officeDocument/2006/relationships/hyperlink" Target="#INICIO!A1"/><Relationship Id="rId1" Type="http://schemas.openxmlformats.org/officeDocument/2006/relationships/chart" Target="../charts/chart22.xml"/><Relationship Id="rId6" Type="http://schemas.openxmlformats.org/officeDocument/2006/relationships/hyperlink" Target="#'RAZONES FINANCIERAS'!A1"/><Relationship Id="rId5" Type="http://schemas.openxmlformats.org/officeDocument/2006/relationships/hyperlink" Target="#'RANKING LIQ'!A1"/><Relationship Id="rId4" Type="http://schemas.openxmlformats.org/officeDocument/2006/relationships/hyperlink" Target="#GRAFICAS!A1"/><Relationship Id="rId9" Type="http://schemas.openxmlformats.org/officeDocument/2006/relationships/hyperlink" Target="#'RANKING GENERAL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RANKING GENERAL'!A1"/><Relationship Id="rId3" Type="http://schemas.openxmlformats.org/officeDocument/2006/relationships/hyperlink" Target="#GRAFICAS!A1"/><Relationship Id="rId7" Type="http://schemas.openxmlformats.org/officeDocument/2006/relationships/hyperlink" Target="#'RANKING DEUDA'!A1"/><Relationship Id="rId2" Type="http://schemas.openxmlformats.org/officeDocument/2006/relationships/hyperlink" Target="#'BASE DATOS'!A1"/><Relationship Id="rId1" Type="http://schemas.openxmlformats.org/officeDocument/2006/relationships/chart" Target="../charts/chart23.xml"/><Relationship Id="rId6" Type="http://schemas.openxmlformats.org/officeDocument/2006/relationships/hyperlink" Target="#'RANKING RENT'!A1"/><Relationship Id="rId5" Type="http://schemas.openxmlformats.org/officeDocument/2006/relationships/hyperlink" Target="#'RAZONES FINANCIERAS'!A1"/><Relationship Id="rId4" Type="http://schemas.openxmlformats.org/officeDocument/2006/relationships/hyperlink" Target="#'RANKING LIQ'!A1"/><Relationship Id="rId9" Type="http://schemas.openxmlformats.org/officeDocument/2006/relationships/hyperlink" Target="#INICI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RANKING UTILIDAD'!A1"/><Relationship Id="rId3" Type="http://schemas.openxmlformats.org/officeDocument/2006/relationships/hyperlink" Target="#'BASE DATOS'!A1"/><Relationship Id="rId7" Type="http://schemas.openxmlformats.org/officeDocument/2006/relationships/hyperlink" Target="#'RANKING RENT'!A1"/><Relationship Id="rId2" Type="http://schemas.openxmlformats.org/officeDocument/2006/relationships/hyperlink" Target="#INICIO!A1"/><Relationship Id="rId1" Type="http://schemas.openxmlformats.org/officeDocument/2006/relationships/chart" Target="../charts/chart24.xml"/><Relationship Id="rId6" Type="http://schemas.openxmlformats.org/officeDocument/2006/relationships/hyperlink" Target="#'RAZONES FINANCIERAS'!A1"/><Relationship Id="rId5" Type="http://schemas.openxmlformats.org/officeDocument/2006/relationships/hyperlink" Target="#'RANKING LIQ'!A1"/><Relationship Id="rId4" Type="http://schemas.openxmlformats.org/officeDocument/2006/relationships/hyperlink" Target="#GRAFICAS!A1"/><Relationship Id="rId9" Type="http://schemas.openxmlformats.org/officeDocument/2006/relationships/hyperlink" Target="#'RANKING DEUDA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1314449</xdr:colOff>
      <xdr:row>12</xdr:row>
      <xdr:rowOff>171450</xdr:rowOff>
    </xdr:from>
    <xdr:to>
      <xdr:col>6</xdr:col>
      <xdr:colOff>47624</xdr:colOff>
      <xdr:row>14</xdr:row>
      <xdr:rowOff>66675</xdr:rowOff>
    </xdr:to>
    <xdr:sp macro="" textlink="">
      <xdr:nvSpPr>
        <xdr:cNvPr id="3" name="Rectá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43724" y="2533650"/>
          <a:ext cx="1457325" cy="2762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GRÁFICAS</a:t>
          </a:r>
        </a:p>
      </xdr:txBody>
    </xdr:sp>
    <xdr:clientData/>
  </xdr:twoCellAnchor>
  <xdr:twoCellAnchor>
    <xdr:from>
      <xdr:col>1</xdr:col>
      <xdr:colOff>495300</xdr:colOff>
      <xdr:row>16</xdr:row>
      <xdr:rowOff>0</xdr:rowOff>
    </xdr:from>
    <xdr:to>
      <xdr:col>2</xdr:col>
      <xdr:colOff>1091769</xdr:colOff>
      <xdr:row>17</xdr:row>
      <xdr:rowOff>142875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28875" y="3124200"/>
          <a:ext cx="1863294" cy="3333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LIQUIDEZ</a:t>
          </a:r>
        </a:p>
      </xdr:txBody>
    </xdr:sp>
    <xdr:clientData/>
  </xdr:twoCellAnchor>
  <xdr:twoCellAnchor>
    <xdr:from>
      <xdr:col>2</xdr:col>
      <xdr:colOff>1047748</xdr:colOff>
      <xdr:row>13</xdr:row>
      <xdr:rowOff>19050</xdr:rowOff>
    </xdr:from>
    <xdr:to>
      <xdr:col>4</xdr:col>
      <xdr:colOff>731996</xdr:colOff>
      <xdr:row>14</xdr:row>
      <xdr:rowOff>104775</xdr:rowOff>
    </xdr:to>
    <xdr:sp macro="" textlink="">
      <xdr:nvSpPr>
        <xdr:cNvPr id="5" name="Rectá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48148" y="2571750"/>
          <a:ext cx="2113123" cy="2762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RAZONES FINANCIERAS</a:t>
          </a:r>
        </a:p>
      </xdr:txBody>
    </xdr:sp>
    <xdr:clientData/>
  </xdr:twoCellAnchor>
  <xdr:twoCellAnchor>
    <xdr:from>
      <xdr:col>4</xdr:col>
      <xdr:colOff>781050</xdr:colOff>
      <xdr:row>16</xdr:row>
      <xdr:rowOff>9525</xdr:rowOff>
    </xdr:from>
    <xdr:to>
      <xdr:col>6</xdr:col>
      <xdr:colOff>253297</xdr:colOff>
      <xdr:row>17</xdr:row>
      <xdr:rowOff>152400</xdr:rowOff>
    </xdr:to>
    <xdr:sp macro="" textlink="">
      <xdr:nvSpPr>
        <xdr:cNvPr id="6" name="Rectá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410325" y="3133725"/>
          <a:ext cx="2196397" cy="3333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RENTABILIDAD</a:t>
          </a:r>
        </a:p>
      </xdr:txBody>
    </xdr:sp>
    <xdr:clientData/>
  </xdr:twoCellAnchor>
  <xdr:twoCellAnchor>
    <xdr:from>
      <xdr:col>6</xdr:col>
      <xdr:colOff>342900</xdr:colOff>
      <xdr:row>16</xdr:row>
      <xdr:rowOff>0</xdr:rowOff>
    </xdr:from>
    <xdr:to>
      <xdr:col>7</xdr:col>
      <xdr:colOff>1015569</xdr:colOff>
      <xdr:row>17</xdr:row>
      <xdr:rowOff>142875</xdr:rowOff>
    </xdr:to>
    <xdr:sp macro="" textlink="">
      <xdr:nvSpPr>
        <xdr:cNvPr id="7" name="Rectá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96325" y="3124200"/>
          <a:ext cx="1863294" cy="3333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UTILIDAD</a:t>
          </a:r>
        </a:p>
      </xdr:txBody>
    </xdr:sp>
    <xdr:clientData/>
  </xdr:twoCellAnchor>
  <xdr:twoCellAnchor>
    <xdr:from>
      <xdr:col>2</xdr:col>
      <xdr:colOff>1238250</xdr:colOff>
      <xdr:row>16</xdr:row>
      <xdr:rowOff>0</xdr:rowOff>
    </xdr:from>
    <xdr:to>
      <xdr:col>4</xdr:col>
      <xdr:colOff>672669</xdr:colOff>
      <xdr:row>17</xdr:row>
      <xdr:rowOff>142875</xdr:rowOff>
    </xdr:to>
    <xdr:sp macro="" textlink="">
      <xdr:nvSpPr>
        <xdr:cNvPr id="8" name="Rectá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438650" y="3124200"/>
          <a:ext cx="1863294" cy="3333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DEUDA</a:t>
          </a:r>
        </a:p>
      </xdr:txBody>
    </xdr:sp>
    <xdr:clientData/>
  </xdr:twoCellAnchor>
  <xdr:twoCellAnchor>
    <xdr:from>
      <xdr:col>3</xdr:col>
      <xdr:colOff>990600</xdr:colOff>
      <xdr:row>18</xdr:row>
      <xdr:rowOff>104775</xdr:rowOff>
    </xdr:from>
    <xdr:to>
      <xdr:col>5</xdr:col>
      <xdr:colOff>742950</xdr:colOff>
      <xdr:row>21</xdr:row>
      <xdr:rowOff>152400</xdr:rowOff>
    </xdr:to>
    <xdr:sp macro="" textlink="">
      <xdr:nvSpPr>
        <xdr:cNvPr id="9" name="Rectá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610225" y="3609975"/>
          <a:ext cx="2400300" cy="6191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 i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GENERAL</a:t>
          </a:r>
        </a:p>
      </xdr:txBody>
    </xdr:sp>
    <xdr:clientData/>
  </xdr:twoCellAnchor>
  <xdr:twoCellAnchor>
    <xdr:from>
      <xdr:col>6</xdr:col>
      <xdr:colOff>628650</xdr:colOff>
      <xdr:row>20</xdr:row>
      <xdr:rowOff>38100</xdr:rowOff>
    </xdr:from>
    <xdr:to>
      <xdr:col>7</xdr:col>
      <xdr:colOff>419100</xdr:colOff>
      <xdr:row>22</xdr:row>
      <xdr:rowOff>114300</xdr:rowOff>
    </xdr:to>
    <xdr:sp macro="" textlink="">
      <xdr:nvSpPr>
        <xdr:cNvPr id="11" name="Elipse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982075" y="3924300"/>
          <a:ext cx="981075" cy="457200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 i="1"/>
            <a:t>INICIO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</xdr:row>
          <xdr:rowOff>123825</xdr:rowOff>
        </xdr:from>
        <xdr:to>
          <xdr:col>15</xdr:col>
          <xdr:colOff>428625</xdr:colOff>
          <xdr:row>27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533399</xdr:colOff>
      <xdr:row>2</xdr:row>
      <xdr:rowOff>95250</xdr:rowOff>
    </xdr:from>
    <xdr:to>
      <xdr:col>7</xdr:col>
      <xdr:colOff>466724</xdr:colOff>
      <xdr:row>3</xdr:row>
      <xdr:rowOff>180975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43399" y="476250"/>
          <a:ext cx="145732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63500">
                  <a:schemeClr val="accent6">
                    <a:satMod val="175000"/>
                    <a:alpha val="40000"/>
                  </a:schemeClr>
                </a:glow>
              </a:effectLst>
            </a:rPr>
            <a:t>BASE DE DATOS</a:t>
          </a:r>
        </a:p>
      </xdr:txBody>
    </xdr:sp>
    <xdr:clientData/>
  </xdr:twoCellAnchor>
  <xdr:twoCellAnchor>
    <xdr:from>
      <xdr:col>11</xdr:col>
      <xdr:colOff>723899</xdr:colOff>
      <xdr:row>2</xdr:row>
      <xdr:rowOff>85725</xdr:rowOff>
    </xdr:from>
    <xdr:to>
      <xdr:col>13</xdr:col>
      <xdr:colOff>657224</xdr:colOff>
      <xdr:row>3</xdr:row>
      <xdr:rowOff>171450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105899" y="466725"/>
          <a:ext cx="145732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63500">
                  <a:schemeClr val="accent6">
                    <a:satMod val="175000"/>
                    <a:alpha val="40000"/>
                  </a:schemeClr>
                </a:glow>
              </a:effectLst>
            </a:rPr>
            <a:t>GRÁFICAS</a:t>
          </a:r>
        </a:p>
      </xdr:txBody>
    </xdr:sp>
    <xdr:clientData/>
  </xdr:twoCellAnchor>
  <xdr:twoCellAnchor>
    <xdr:from>
      <xdr:col>4</xdr:col>
      <xdr:colOff>219075</xdr:colOff>
      <xdr:row>4</xdr:row>
      <xdr:rowOff>104775</xdr:rowOff>
    </xdr:from>
    <xdr:to>
      <xdr:col>6</xdr:col>
      <xdr:colOff>558369</xdr:colOff>
      <xdr:row>6</xdr:row>
      <xdr:rowOff>57150</xdr:rowOff>
    </xdr:to>
    <xdr:sp macro="" textlink="">
      <xdr:nvSpPr>
        <xdr:cNvPr id="5" name="Rectá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267075" y="866775"/>
          <a:ext cx="1863294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63500">
                  <a:schemeClr val="accent6">
                    <a:satMod val="175000"/>
                    <a:alpha val="40000"/>
                  </a:schemeClr>
                </a:glow>
              </a:effectLst>
            </a:rPr>
            <a:t>RANKING LIQUIDEZ</a:t>
          </a:r>
        </a:p>
      </xdr:txBody>
    </xdr:sp>
    <xdr:clientData/>
  </xdr:twoCellAnchor>
  <xdr:twoCellAnchor>
    <xdr:from>
      <xdr:col>8</xdr:col>
      <xdr:colOff>266698</xdr:colOff>
      <xdr:row>2</xdr:row>
      <xdr:rowOff>95250</xdr:rowOff>
    </xdr:from>
    <xdr:to>
      <xdr:col>11</xdr:col>
      <xdr:colOff>93821</xdr:colOff>
      <xdr:row>3</xdr:row>
      <xdr:rowOff>180975</xdr:rowOff>
    </xdr:to>
    <xdr:sp macro="" textlink="">
      <xdr:nvSpPr>
        <xdr:cNvPr id="6" name="Rectá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362698" y="476250"/>
          <a:ext cx="2113123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63500">
                  <a:schemeClr val="accent6">
                    <a:satMod val="175000"/>
                    <a:alpha val="40000"/>
                  </a:schemeClr>
                </a:glow>
              </a:effectLst>
            </a:rPr>
            <a:t>RAZONES FINANCIERAS</a:t>
          </a:r>
        </a:p>
      </xdr:txBody>
    </xdr:sp>
    <xdr:clientData/>
  </xdr:twoCellAnchor>
  <xdr:twoCellAnchor>
    <xdr:from>
      <xdr:col>11</xdr:col>
      <xdr:colOff>266700</xdr:colOff>
      <xdr:row>2</xdr:row>
      <xdr:rowOff>9525</xdr:rowOff>
    </xdr:from>
    <xdr:to>
      <xdr:col>13</xdr:col>
      <xdr:colOff>76200</xdr:colOff>
      <xdr:row>3</xdr:row>
      <xdr:rowOff>95250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8648700" y="390525"/>
          <a:ext cx="1333500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400">
            <a:effectLst>
              <a:glow rad="63500">
                <a:schemeClr val="accent6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9</xdr:col>
      <xdr:colOff>390525</xdr:colOff>
      <xdr:row>4</xdr:row>
      <xdr:rowOff>114300</xdr:rowOff>
    </xdr:from>
    <xdr:to>
      <xdr:col>12</xdr:col>
      <xdr:colOff>300922</xdr:colOff>
      <xdr:row>6</xdr:row>
      <xdr:rowOff>66675</xdr:rowOff>
    </xdr:to>
    <xdr:sp macro="" textlink="">
      <xdr:nvSpPr>
        <xdr:cNvPr id="9" name="Rectá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248525" y="876300"/>
          <a:ext cx="2196397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63500">
                  <a:schemeClr val="accent6">
                    <a:satMod val="175000"/>
                    <a:alpha val="40000"/>
                  </a:schemeClr>
                </a:glow>
              </a:effectLst>
            </a:rPr>
            <a:t>RANKING RENTABILIDAD</a:t>
          </a:r>
        </a:p>
      </xdr:txBody>
    </xdr:sp>
    <xdr:clientData/>
  </xdr:twoCellAnchor>
  <xdr:twoCellAnchor>
    <xdr:from>
      <xdr:col>12</xdr:col>
      <xdr:colOff>390525</xdr:colOff>
      <xdr:row>4</xdr:row>
      <xdr:rowOff>104775</xdr:rowOff>
    </xdr:from>
    <xdr:to>
      <xdr:col>14</xdr:col>
      <xdr:colOff>729819</xdr:colOff>
      <xdr:row>6</xdr:row>
      <xdr:rowOff>57150</xdr:rowOff>
    </xdr:to>
    <xdr:sp macro="" textlink="">
      <xdr:nvSpPr>
        <xdr:cNvPr id="10" name="Rectá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534525" y="866775"/>
          <a:ext cx="1863294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63500">
                  <a:schemeClr val="accent6">
                    <a:satMod val="175000"/>
                    <a:alpha val="40000"/>
                  </a:schemeClr>
                </a:glow>
              </a:effectLst>
            </a:rPr>
            <a:t>RANKING UTILIDAD</a:t>
          </a:r>
        </a:p>
      </xdr:txBody>
    </xdr:sp>
    <xdr:clientData/>
  </xdr:twoCellAnchor>
  <xdr:twoCellAnchor>
    <xdr:from>
      <xdr:col>6</xdr:col>
      <xdr:colOff>704850</xdr:colOff>
      <xdr:row>4</xdr:row>
      <xdr:rowOff>104775</xdr:rowOff>
    </xdr:from>
    <xdr:to>
      <xdr:col>9</xdr:col>
      <xdr:colOff>282144</xdr:colOff>
      <xdr:row>6</xdr:row>
      <xdr:rowOff>57150</xdr:rowOff>
    </xdr:to>
    <xdr:sp macro="" textlink="">
      <xdr:nvSpPr>
        <xdr:cNvPr id="11" name="Rectá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276850" y="866775"/>
          <a:ext cx="1863294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63500">
                  <a:schemeClr val="accent6">
                    <a:satMod val="175000"/>
                    <a:alpha val="40000"/>
                  </a:schemeClr>
                </a:glow>
              </a:effectLst>
            </a:rPr>
            <a:t>RANKING DEUDA</a:t>
          </a:r>
        </a:p>
      </xdr:txBody>
    </xdr:sp>
    <xdr:clientData/>
  </xdr:twoCellAnchor>
  <xdr:twoCellAnchor>
    <xdr:from>
      <xdr:col>8</xdr:col>
      <xdr:colOff>352425</xdr:colOff>
      <xdr:row>7</xdr:row>
      <xdr:rowOff>19050</xdr:rowOff>
    </xdr:from>
    <xdr:to>
      <xdr:col>11</xdr:col>
      <xdr:colOff>466725</xdr:colOff>
      <xdr:row>10</xdr:row>
      <xdr:rowOff>66675</xdr:rowOff>
    </xdr:to>
    <xdr:sp macro="" textlink="">
      <xdr:nvSpPr>
        <xdr:cNvPr id="12" name="Rectá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448425" y="1352550"/>
          <a:ext cx="2400300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 b="1" i="1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RANKING GENERAL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352424</xdr:colOff>
      <xdr:row>28</xdr:row>
      <xdr:rowOff>9525</xdr:rowOff>
    </xdr:from>
    <xdr:to>
      <xdr:col>4</xdr:col>
      <xdr:colOff>942974</xdr:colOff>
      <xdr:row>29</xdr:row>
      <xdr:rowOff>95250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62499" y="5572125"/>
          <a:ext cx="1457325" cy="2762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BASE DE DATOS</a:t>
          </a:r>
        </a:p>
      </xdr:txBody>
    </xdr:sp>
    <xdr:clientData/>
  </xdr:twoCellAnchor>
  <xdr:twoCellAnchor>
    <xdr:from>
      <xdr:col>5</xdr:col>
      <xdr:colOff>514349</xdr:colOff>
      <xdr:row>28</xdr:row>
      <xdr:rowOff>38100</xdr:rowOff>
    </xdr:from>
    <xdr:to>
      <xdr:col>6</xdr:col>
      <xdr:colOff>838199</xdr:colOff>
      <xdr:row>29</xdr:row>
      <xdr:rowOff>123825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962774" y="5600700"/>
          <a:ext cx="1457325" cy="2762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GRÁFICAS</a:t>
          </a:r>
        </a:p>
      </xdr:txBody>
    </xdr:sp>
    <xdr:clientData/>
  </xdr:twoCellAnchor>
  <xdr:twoCellAnchor>
    <xdr:from>
      <xdr:col>1</xdr:col>
      <xdr:colOff>400050</xdr:colOff>
      <xdr:row>30</xdr:row>
      <xdr:rowOff>114300</xdr:rowOff>
    </xdr:from>
    <xdr:to>
      <xdr:col>3</xdr:col>
      <xdr:colOff>15444</xdr:colOff>
      <xdr:row>32</xdr:row>
      <xdr:rowOff>66675</xdr:rowOff>
    </xdr:to>
    <xdr:sp macro="" textlink="">
      <xdr:nvSpPr>
        <xdr:cNvPr id="4" name="Rectá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562225" y="6057900"/>
          <a:ext cx="1863294" cy="3333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LIQUIDEZ</a:t>
          </a:r>
        </a:p>
      </xdr:txBody>
    </xdr:sp>
    <xdr:clientData/>
  </xdr:twoCellAnchor>
  <xdr:twoCellAnchor>
    <xdr:from>
      <xdr:col>5</xdr:col>
      <xdr:colOff>95250</xdr:colOff>
      <xdr:row>30</xdr:row>
      <xdr:rowOff>123825</xdr:rowOff>
    </xdr:from>
    <xdr:to>
      <xdr:col>7</xdr:col>
      <xdr:colOff>310447</xdr:colOff>
      <xdr:row>32</xdr:row>
      <xdr:rowOff>76200</xdr:rowOff>
    </xdr:to>
    <xdr:sp macro="" textlink="">
      <xdr:nvSpPr>
        <xdr:cNvPr id="6" name="Rectá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543675" y="6067425"/>
          <a:ext cx="2196397" cy="3333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RENTABILIDAD</a:t>
          </a:r>
        </a:p>
      </xdr:txBody>
    </xdr:sp>
    <xdr:clientData/>
  </xdr:twoCellAnchor>
  <xdr:twoCellAnchor>
    <xdr:from>
      <xdr:col>7</xdr:col>
      <xdr:colOff>400050</xdr:colOff>
      <xdr:row>30</xdr:row>
      <xdr:rowOff>114300</xdr:rowOff>
    </xdr:from>
    <xdr:to>
      <xdr:col>8</xdr:col>
      <xdr:colOff>1091769</xdr:colOff>
      <xdr:row>32</xdr:row>
      <xdr:rowOff>66675</xdr:rowOff>
    </xdr:to>
    <xdr:sp macro="" textlink="">
      <xdr:nvSpPr>
        <xdr:cNvPr id="7" name="Rectá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8829675" y="6057900"/>
          <a:ext cx="1863294" cy="3333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UTILIDAD</a:t>
          </a:r>
        </a:p>
      </xdr:txBody>
    </xdr:sp>
    <xdr:clientData/>
  </xdr:twoCellAnchor>
  <xdr:twoCellAnchor>
    <xdr:from>
      <xdr:col>3</xdr:col>
      <xdr:colOff>161925</xdr:colOff>
      <xdr:row>30</xdr:row>
      <xdr:rowOff>114300</xdr:rowOff>
    </xdr:from>
    <xdr:to>
      <xdr:col>4</xdr:col>
      <xdr:colOff>1158444</xdr:colOff>
      <xdr:row>32</xdr:row>
      <xdr:rowOff>66675</xdr:rowOff>
    </xdr:to>
    <xdr:sp macro="" textlink="">
      <xdr:nvSpPr>
        <xdr:cNvPr id="8" name="Rectá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572000" y="6057900"/>
          <a:ext cx="1863294" cy="3333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DEUDA</a:t>
          </a:r>
        </a:p>
      </xdr:txBody>
    </xdr:sp>
    <xdr:clientData/>
  </xdr:twoCellAnchor>
  <xdr:twoCellAnchor>
    <xdr:from>
      <xdr:col>4</xdr:col>
      <xdr:colOff>466725</xdr:colOff>
      <xdr:row>33</xdr:row>
      <xdr:rowOff>28575</xdr:rowOff>
    </xdr:from>
    <xdr:to>
      <xdr:col>6</xdr:col>
      <xdr:colOff>561975</xdr:colOff>
      <xdr:row>36</xdr:row>
      <xdr:rowOff>76200</xdr:rowOff>
    </xdr:to>
    <xdr:sp macro="" textlink="">
      <xdr:nvSpPr>
        <xdr:cNvPr id="9" name="Rectá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743575" y="6543675"/>
          <a:ext cx="2400300" cy="6191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 i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GENERAL</a:t>
          </a:r>
        </a:p>
      </xdr:txBody>
    </xdr:sp>
    <xdr:clientData/>
  </xdr:twoCellAnchor>
  <xdr:twoCellAnchor>
    <xdr:from>
      <xdr:col>7</xdr:col>
      <xdr:colOff>381000</xdr:colOff>
      <xdr:row>34</xdr:row>
      <xdr:rowOff>104775</xdr:rowOff>
    </xdr:from>
    <xdr:to>
      <xdr:col>8</xdr:col>
      <xdr:colOff>190500</xdr:colOff>
      <xdr:row>36</xdr:row>
      <xdr:rowOff>180975</xdr:rowOff>
    </xdr:to>
    <xdr:sp macro="" textlink="">
      <xdr:nvSpPr>
        <xdr:cNvPr id="11" name="Elipse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810625" y="6810375"/>
          <a:ext cx="981075" cy="457200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 i="1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6</xdr:col>
      <xdr:colOff>276225</xdr:colOff>
      <xdr:row>14</xdr:row>
      <xdr:rowOff>123825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9524</xdr:colOff>
      <xdr:row>0</xdr:row>
      <xdr:rowOff>0</xdr:rowOff>
    </xdr:from>
    <xdr:to>
      <xdr:col>13</xdr:col>
      <xdr:colOff>666750</xdr:colOff>
      <xdr:row>15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180974</xdr:rowOff>
    </xdr:from>
    <xdr:to>
      <xdr:col>6</xdr:col>
      <xdr:colOff>247650</xdr:colOff>
      <xdr:row>31</xdr:row>
      <xdr:rowOff>9525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19050</xdr:colOff>
      <xdr:row>16</xdr:row>
      <xdr:rowOff>0</xdr:rowOff>
    </xdr:from>
    <xdr:to>
      <xdr:col>13</xdr:col>
      <xdr:colOff>666750</xdr:colOff>
      <xdr:row>31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32</xdr:row>
      <xdr:rowOff>19050</xdr:rowOff>
    </xdr:from>
    <xdr:to>
      <xdr:col>6</xdr:col>
      <xdr:colOff>0</xdr:colOff>
      <xdr:row>46</xdr:row>
      <xdr:rowOff>95250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752475</xdr:colOff>
      <xdr:row>32</xdr:row>
      <xdr:rowOff>0</xdr:rowOff>
    </xdr:from>
    <xdr:to>
      <xdr:col>12</xdr:col>
      <xdr:colOff>752475</xdr:colOff>
      <xdr:row>46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47</xdr:row>
      <xdr:rowOff>9525</xdr:rowOff>
    </xdr:from>
    <xdr:to>
      <xdr:col>6</xdr:col>
      <xdr:colOff>0</xdr:colOff>
      <xdr:row>61</xdr:row>
      <xdr:rowOff>85725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13</xdr:col>
      <xdr:colOff>0</xdr:colOff>
      <xdr:row>61</xdr:row>
      <xdr:rowOff>76200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62</xdr:row>
      <xdr:rowOff>9525</xdr:rowOff>
    </xdr:from>
    <xdr:to>
      <xdr:col>6</xdr:col>
      <xdr:colOff>0</xdr:colOff>
      <xdr:row>76</xdr:row>
      <xdr:rowOff>85725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62</xdr:row>
      <xdr:rowOff>0</xdr:rowOff>
    </xdr:from>
    <xdr:to>
      <xdr:col>13</xdr:col>
      <xdr:colOff>0</xdr:colOff>
      <xdr:row>76</xdr:row>
      <xdr:rowOff>76200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77</xdr:row>
      <xdr:rowOff>9525</xdr:rowOff>
    </xdr:from>
    <xdr:to>
      <xdr:col>6</xdr:col>
      <xdr:colOff>0</xdr:colOff>
      <xdr:row>91</xdr:row>
      <xdr:rowOff>85725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9525</xdr:colOff>
      <xdr:row>76</xdr:row>
      <xdr:rowOff>180975</xdr:rowOff>
    </xdr:from>
    <xdr:to>
      <xdr:col>13</xdr:col>
      <xdr:colOff>9525</xdr:colOff>
      <xdr:row>91</xdr:row>
      <xdr:rowOff>66675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92</xdr:row>
      <xdr:rowOff>9525</xdr:rowOff>
    </xdr:from>
    <xdr:to>
      <xdr:col>6</xdr:col>
      <xdr:colOff>0</xdr:colOff>
      <xdr:row>106</xdr:row>
      <xdr:rowOff>85725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0</xdr:colOff>
      <xdr:row>91</xdr:row>
      <xdr:rowOff>180975</xdr:rowOff>
    </xdr:from>
    <xdr:to>
      <xdr:col>13</xdr:col>
      <xdr:colOff>0</xdr:colOff>
      <xdr:row>106</xdr:row>
      <xdr:rowOff>66675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107</xdr:row>
      <xdr:rowOff>0</xdr:rowOff>
    </xdr:from>
    <xdr:to>
      <xdr:col>6</xdr:col>
      <xdr:colOff>0</xdr:colOff>
      <xdr:row>121</xdr:row>
      <xdr:rowOff>76200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0</xdr:colOff>
      <xdr:row>107</xdr:row>
      <xdr:rowOff>0</xdr:rowOff>
    </xdr:from>
    <xdr:to>
      <xdr:col>13</xdr:col>
      <xdr:colOff>0</xdr:colOff>
      <xdr:row>121</xdr:row>
      <xdr:rowOff>76200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122</xdr:row>
      <xdr:rowOff>0</xdr:rowOff>
    </xdr:from>
    <xdr:to>
      <xdr:col>6</xdr:col>
      <xdr:colOff>0</xdr:colOff>
      <xdr:row>136</xdr:row>
      <xdr:rowOff>76200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0</xdr:colOff>
      <xdr:row>121</xdr:row>
      <xdr:rowOff>180975</xdr:rowOff>
    </xdr:from>
    <xdr:to>
      <xdr:col>13</xdr:col>
      <xdr:colOff>0</xdr:colOff>
      <xdr:row>136</xdr:row>
      <xdr:rowOff>66675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137</xdr:row>
      <xdr:rowOff>9525</xdr:rowOff>
    </xdr:from>
    <xdr:to>
      <xdr:col>6</xdr:col>
      <xdr:colOff>0</xdr:colOff>
      <xdr:row>151</xdr:row>
      <xdr:rowOff>85725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16</xdr:col>
      <xdr:colOff>314324</xdr:colOff>
      <xdr:row>1</xdr:row>
      <xdr:rowOff>9525</xdr:rowOff>
    </xdr:from>
    <xdr:to>
      <xdr:col>18</xdr:col>
      <xdr:colOff>247649</xdr:colOff>
      <xdr:row>2</xdr:row>
      <xdr:rowOff>95250</xdr:rowOff>
    </xdr:to>
    <xdr:sp macro="" textlink="">
      <xdr:nvSpPr>
        <xdr:cNvPr id="21" name="Rectángulo 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12506324" y="200025"/>
          <a:ext cx="1457325" cy="2762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BASE DE DATOS</a:t>
          </a:r>
        </a:p>
      </xdr:txBody>
    </xdr:sp>
    <xdr:clientData/>
  </xdr:twoCellAnchor>
  <xdr:twoCellAnchor>
    <xdr:from>
      <xdr:col>16</xdr:col>
      <xdr:colOff>352425</xdr:colOff>
      <xdr:row>6</xdr:row>
      <xdr:rowOff>47625</xdr:rowOff>
    </xdr:from>
    <xdr:to>
      <xdr:col>18</xdr:col>
      <xdr:colOff>691719</xdr:colOff>
      <xdr:row>8</xdr:row>
      <xdr:rowOff>0</xdr:rowOff>
    </xdr:to>
    <xdr:sp macro="" textlink="">
      <xdr:nvSpPr>
        <xdr:cNvPr id="23" name="Rectángulo 2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2544425" y="1190625"/>
          <a:ext cx="1863294" cy="3333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LIQUIDEZ</a:t>
          </a:r>
        </a:p>
      </xdr:txBody>
    </xdr:sp>
    <xdr:clientData/>
  </xdr:twoCellAnchor>
  <xdr:twoCellAnchor>
    <xdr:from>
      <xdr:col>16</xdr:col>
      <xdr:colOff>361948</xdr:colOff>
      <xdr:row>3</xdr:row>
      <xdr:rowOff>161925</xdr:rowOff>
    </xdr:from>
    <xdr:to>
      <xdr:col>19</xdr:col>
      <xdr:colOff>189071</xdr:colOff>
      <xdr:row>5</xdr:row>
      <xdr:rowOff>57150</xdr:rowOff>
    </xdr:to>
    <xdr:sp macro="" textlink="">
      <xdr:nvSpPr>
        <xdr:cNvPr id="24" name="Rectángulo 2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2553948" y="733425"/>
          <a:ext cx="2113123" cy="2762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RAZONES FINANCIERAS</a:t>
          </a:r>
        </a:p>
      </xdr:txBody>
    </xdr:sp>
    <xdr:clientData/>
  </xdr:twoCellAnchor>
  <xdr:twoCellAnchor>
    <xdr:from>
      <xdr:col>16</xdr:col>
      <xdr:colOff>409575</xdr:colOff>
      <xdr:row>11</xdr:row>
      <xdr:rowOff>142875</xdr:rowOff>
    </xdr:from>
    <xdr:to>
      <xdr:col>19</xdr:col>
      <xdr:colOff>319972</xdr:colOff>
      <xdr:row>13</xdr:row>
      <xdr:rowOff>95250</xdr:rowOff>
    </xdr:to>
    <xdr:sp macro="" textlink="">
      <xdr:nvSpPr>
        <xdr:cNvPr id="25" name="Rectángulo 24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2601575" y="2238375"/>
          <a:ext cx="2196397" cy="3333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RENTABILIDAD</a:t>
          </a:r>
        </a:p>
      </xdr:txBody>
    </xdr:sp>
    <xdr:clientData/>
  </xdr:twoCellAnchor>
  <xdr:twoCellAnchor>
    <xdr:from>
      <xdr:col>16</xdr:col>
      <xdr:colOff>381000</xdr:colOff>
      <xdr:row>14</xdr:row>
      <xdr:rowOff>114300</xdr:rowOff>
    </xdr:from>
    <xdr:to>
      <xdr:col>18</xdr:col>
      <xdr:colOff>720294</xdr:colOff>
      <xdr:row>16</xdr:row>
      <xdr:rowOff>66675</xdr:rowOff>
    </xdr:to>
    <xdr:sp macro="" textlink="">
      <xdr:nvSpPr>
        <xdr:cNvPr id="26" name="Rectángulo 2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2573000" y="2781300"/>
          <a:ext cx="1863294" cy="3333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UTILIDAD</a:t>
          </a:r>
        </a:p>
      </xdr:txBody>
    </xdr:sp>
    <xdr:clientData/>
  </xdr:twoCellAnchor>
  <xdr:twoCellAnchor>
    <xdr:from>
      <xdr:col>16</xdr:col>
      <xdr:colOff>390525</xdr:colOff>
      <xdr:row>9</xdr:row>
      <xdr:rowOff>9525</xdr:rowOff>
    </xdr:from>
    <xdr:to>
      <xdr:col>18</xdr:col>
      <xdr:colOff>729819</xdr:colOff>
      <xdr:row>10</xdr:row>
      <xdr:rowOff>152400</xdr:rowOff>
    </xdr:to>
    <xdr:sp macro="" textlink="">
      <xdr:nvSpPr>
        <xdr:cNvPr id="27" name="Rectángulo 26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12582525" y="1724025"/>
          <a:ext cx="1863294" cy="3333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DEUDA</a:t>
          </a:r>
        </a:p>
      </xdr:txBody>
    </xdr:sp>
    <xdr:clientData/>
  </xdr:twoCellAnchor>
  <xdr:twoCellAnchor>
    <xdr:from>
      <xdr:col>16</xdr:col>
      <xdr:colOff>542925</xdr:colOff>
      <xdr:row>22</xdr:row>
      <xdr:rowOff>19050</xdr:rowOff>
    </xdr:from>
    <xdr:to>
      <xdr:col>18</xdr:col>
      <xdr:colOff>0</xdr:colOff>
      <xdr:row>24</xdr:row>
      <xdr:rowOff>95250</xdr:rowOff>
    </xdr:to>
    <xdr:sp macro="" textlink="">
      <xdr:nvSpPr>
        <xdr:cNvPr id="29" name="Elipse 28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2734925" y="4210050"/>
          <a:ext cx="981075" cy="457200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 i="1"/>
            <a:t>INICIO</a:t>
          </a:r>
        </a:p>
      </xdr:txBody>
    </xdr:sp>
    <xdr:clientData/>
  </xdr:twoCellAnchor>
  <xdr:twoCellAnchor>
    <xdr:from>
      <xdr:col>16</xdr:col>
      <xdr:colOff>428625</xdr:colOff>
      <xdr:row>17</xdr:row>
      <xdr:rowOff>95250</xdr:rowOff>
    </xdr:from>
    <xdr:to>
      <xdr:col>19</xdr:col>
      <xdr:colOff>542925</xdr:colOff>
      <xdr:row>20</xdr:row>
      <xdr:rowOff>142875</xdr:rowOff>
    </xdr:to>
    <xdr:sp macro="" textlink="">
      <xdr:nvSpPr>
        <xdr:cNvPr id="30" name="Rectángulo 29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DDAC1C3-BD82-4AB0-A132-D95D0C81967F}"/>
            </a:ext>
          </a:extLst>
        </xdr:cNvPr>
        <xdr:cNvSpPr/>
      </xdr:nvSpPr>
      <xdr:spPr>
        <a:xfrm>
          <a:off x="12620625" y="3333750"/>
          <a:ext cx="2400300" cy="6191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 i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GENERAL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19050</xdr:rowOff>
    </xdr:from>
    <xdr:to>
      <xdr:col>18</xdr:col>
      <xdr:colOff>9525</xdr:colOff>
      <xdr:row>3</xdr:row>
      <xdr:rowOff>28575</xdr:rowOff>
    </xdr:to>
    <xdr:sp macro="[0]!ordenarLiq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50" y="209550"/>
          <a:ext cx="1533525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ACTUALIZAR</a:t>
          </a:r>
        </a:p>
      </xdr:txBody>
    </xdr:sp>
    <xdr:clientData/>
  </xdr:twoCellAnchor>
  <xdr:twoCellAnchor>
    <xdr:from>
      <xdr:col>16</xdr:col>
      <xdr:colOff>9525</xdr:colOff>
      <xdr:row>4</xdr:row>
      <xdr:rowOff>9525</xdr:rowOff>
    </xdr:from>
    <xdr:to>
      <xdr:col>22</xdr:col>
      <xdr:colOff>9525</xdr:colOff>
      <xdr:row>18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</xdr:colOff>
      <xdr:row>20</xdr:row>
      <xdr:rowOff>19050</xdr:rowOff>
    </xdr:from>
    <xdr:to>
      <xdr:col>14</xdr:col>
      <xdr:colOff>990600</xdr:colOff>
      <xdr:row>22</xdr:row>
      <xdr:rowOff>95250</xdr:rowOff>
    </xdr:to>
    <xdr:sp macro="" textlink="">
      <xdr:nvSpPr>
        <xdr:cNvPr id="4" name="Elips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353050" y="3829050"/>
          <a:ext cx="981075" cy="457200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 i="1"/>
            <a:t>INICIO</a:t>
          </a:r>
        </a:p>
      </xdr:txBody>
    </xdr:sp>
    <xdr:clientData/>
  </xdr:twoCellAnchor>
  <xdr:twoCellAnchor>
    <xdr:from>
      <xdr:col>1</xdr:col>
      <xdr:colOff>704849</xdr:colOff>
      <xdr:row>15</xdr:row>
      <xdr:rowOff>47625</xdr:rowOff>
    </xdr:from>
    <xdr:to>
      <xdr:col>4</xdr:col>
      <xdr:colOff>485775</xdr:colOff>
      <xdr:row>16</xdr:row>
      <xdr:rowOff>133350</xdr:rowOff>
    </xdr:to>
    <xdr:sp macro="" textlink="">
      <xdr:nvSpPr>
        <xdr:cNvPr id="5" name="Rectá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62024" y="2905125"/>
          <a:ext cx="1447801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BASE DE DATOS</a:t>
          </a:r>
        </a:p>
      </xdr:txBody>
    </xdr:sp>
    <xdr:clientData/>
  </xdr:twoCellAnchor>
  <xdr:twoCellAnchor>
    <xdr:from>
      <xdr:col>13</xdr:col>
      <xdr:colOff>723899</xdr:colOff>
      <xdr:row>15</xdr:row>
      <xdr:rowOff>66675</xdr:rowOff>
    </xdr:from>
    <xdr:to>
      <xdr:col>15</xdr:col>
      <xdr:colOff>200024</xdr:colOff>
      <xdr:row>16</xdr:row>
      <xdr:rowOff>152400</xdr:rowOff>
    </xdr:to>
    <xdr:sp macro="" textlink="">
      <xdr:nvSpPr>
        <xdr:cNvPr id="6" name="Rectá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24449" y="2924175"/>
          <a:ext cx="145732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GRÁFICAS</a:t>
          </a:r>
        </a:p>
      </xdr:txBody>
    </xdr:sp>
    <xdr:clientData/>
  </xdr:twoCellAnchor>
  <xdr:twoCellAnchor>
    <xdr:from>
      <xdr:col>4</xdr:col>
      <xdr:colOff>800098</xdr:colOff>
      <xdr:row>15</xdr:row>
      <xdr:rowOff>57150</xdr:rowOff>
    </xdr:from>
    <xdr:to>
      <xdr:col>13</xdr:col>
      <xdr:colOff>436721</xdr:colOff>
      <xdr:row>16</xdr:row>
      <xdr:rowOff>142875</xdr:rowOff>
    </xdr:to>
    <xdr:sp macro="" textlink="">
      <xdr:nvSpPr>
        <xdr:cNvPr id="8" name="Rectá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724148" y="2914650"/>
          <a:ext cx="2113123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RAZONES FINANCIERAS</a:t>
          </a:r>
        </a:p>
      </xdr:txBody>
    </xdr:sp>
    <xdr:clientData/>
  </xdr:twoCellAnchor>
  <xdr:twoCellAnchor>
    <xdr:from>
      <xdr:col>4</xdr:col>
      <xdr:colOff>723900</xdr:colOff>
      <xdr:row>17</xdr:row>
      <xdr:rowOff>133350</xdr:rowOff>
    </xdr:from>
    <xdr:to>
      <xdr:col>13</xdr:col>
      <xdr:colOff>443797</xdr:colOff>
      <xdr:row>19</xdr:row>
      <xdr:rowOff>85725</xdr:rowOff>
    </xdr:to>
    <xdr:sp macro="" textlink="">
      <xdr:nvSpPr>
        <xdr:cNvPr id="9" name="Rectá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647950" y="3371850"/>
          <a:ext cx="2196397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RENTABILIDAD</a:t>
          </a:r>
        </a:p>
        <a:p>
          <a:pPr algn="l"/>
          <a:endParaRPr lang="es-MX" sz="1400" b="1">
            <a:effectLst>
              <a:glow rad="101600">
                <a:schemeClr val="accent1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13</xdr:col>
      <xdr:colOff>628650</xdr:colOff>
      <xdr:row>17</xdr:row>
      <xdr:rowOff>123825</xdr:rowOff>
    </xdr:from>
    <xdr:to>
      <xdr:col>15</xdr:col>
      <xdr:colOff>510744</xdr:colOff>
      <xdr:row>19</xdr:row>
      <xdr:rowOff>76200</xdr:rowOff>
    </xdr:to>
    <xdr:sp macro="" textlink="">
      <xdr:nvSpPr>
        <xdr:cNvPr id="10" name="Rectá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5029200" y="3362325"/>
          <a:ext cx="1863294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UTILIDAD</a:t>
          </a:r>
        </a:p>
      </xdr:txBody>
    </xdr:sp>
    <xdr:clientData/>
  </xdr:twoCellAnchor>
  <xdr:twoCellAnchor>
    <xdr:from>
      <xdr:col>1</xdr:col>
      <xdr:colOff>295275</xdr:colOff>
      <xdr:row>17</xdr:row>
      <xdr:rowOff>133350</xdr:rowOff>
    </xdr:from>
    <xdr:to>
      <xdr:col>4</xdr:col>
      <xdr:colOff>485775</xdr:colOff>
      <xdr:row>19</xdr:row>
      <xdr:rowOff>85725</xdr:rowOff>
    </xdr:to>
    <xdr:sp macro="" textlink="">
      <xdr:nvSpPr>
        <xdr:cNvPr id="11" name="Rectá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52450" y="3371850"/>
          <a:ext cx="1857375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DEUDA</a:t>
          </a:r>
        </a:p>
      </xdr:txBody>
    </xdr:sp>
    <xdr:clientData/>
  </xdr:twoCellAnchor>
  <xdr:twoCellAnchor>
    <xdr:from>
      <xdr:col>4</xdr:col>
      <xdr:colOff>561975</xdr:colOff>
      <xdr:row>20</xdr:row>
      <xdr:rowOff>19050</xdr:rowOff>
    </xdr:from>
    <xdr:to>
      <xdr:col>13</xdr:col>
      <xdr:colOff>485775</xdr:colOff>
      <xdr:row>23</xdr:row>
      <xdr:rowOff>66675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2486025" y="3829050"/>
          <a:ext cx="2400300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 b="1" i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GENERAL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1</xdr:row>
      <xdr:rowOff>0</xdr:rowOff>
    </xdr:from>
    <xdr:to>
      <xdr:col>18</xdr:col>
      <xdr:colOff>0</xdr:colOff>
      <xdr:row>2</xdr:row>
      <xdr:rowOff>180975</xdr:rowOff>
    </xdr:to>
    <xdr:sp macro="[0]!OrdRent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53275" y="190500"/>
          <a:ext cx="1514475" cy="561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ACTUALIZAR</a:t>
          </a:r>
        </a:p>
      </xdr:txBody>
    </xdr:sp>
    <xdr:clientData/>
  </xdr:twoCellAnchor>
  <xdr:twoCellAnchor>
    <xdr:from>
      <xdr:col>16</xdr:col>
      <xdr:colOff>0</xdr:colOff>
      <xdr:row>3</xdr:row>
      <xdr:rowOff>180975</xdr:rowOff>
    </xdr:from>
    <xdr:to>
      <xdr:col>22</xdr:col>
      <xdr:colOff>0</xdr:colOff>
      <xdr:row>18</xdr:row>
      <xdr:rowOff>66675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361950</xdr:colOff>
      <xdr:row>19</xdr:row>
      <xdr:rowOff>180975</xdr:rowOff>
    </xdr:from>
    <xdr:to>
      <xdr:col>15</xdr:col>
      <xdr:colOff>304800</xdr:colOff>
      <xdr:row>22</xdr:row>
      <xdr:rowOff>66675</xdr:rowOff>
    </xdr:to>
    <xdr:sp macro="" textlink="">
      <xdr:nvSpPr>
        <xdr:cNvPr id="5" name="Elips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705475" y="3990975"/>
          <a:ext cx="981075" cy="457200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 i="1"/>
            <a:t>INICIO</a:t>
          </a:r>
        </a:p>
      </xdr:txBody>
    </xdr:sp>
    <xdr:clientData/>
  </xdr:twoCellAnchor>
  <xdr:twoCellAnchor>
    <xdr:from>
      <xdr:col>1</xdr:col>
      <xdr:colOff>628649</xdr:colOff>
      <xdr:row>15</xdr:row>
      <xdr:rowOff>161925</xdr:rowOff>
    </xdr:from>
    <xdr:to>
      <xdr:col>4</xdr:col>
      <xdr:colOff>419099</xdr:colOff>
      <xdr:row>17</xdr:row>
      <xdr:rowOff>57150</xdr:rowOff>
    </xdr:to>
    <xdr:sp macro="" textlink="">
      <xdr:nvSpPr>
        <xdr:cNvPr id="13" name="Rectá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85824" y="3209925"/>
          <a:ext cx="145732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BASE DE DATOS</a:t>
          </a:r>
        </a:p>
      </xdr:txBody>
    </xdr:sp>
    <xdr:clientData/>
  </xdr:twoCellAnchor>
  <xdr:twoCellAnchor>
    <xdr:from>
      <xdr:col>14</xdr:col>
      <xdr:colOff>304799</xdr:colOff>
      <xdr:row>15</xdr:row>
      <xdr:rowOff>152400</xdr:rowOff>
    </xdr:from>
    <xdr:to>
      <xdr:col>15</xdr:col>
      <xdr:colOff>723899</xdr:colOff>
      <xdr:row>17</xdr:row>
      <xdr:rowOff>47625</xdr:rowOff>
    </xdr:to>
    <xdr:sp macro="" textlink="">
      <xdr:nvSpPr>
        <xdr:cNvPr id="14" name="Rectá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5648324" y="3200400"/>
          <a:ext cx="145732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GRÁFICAS</a:t>
          </a:r>
        </a:p>
      </xdr:txBody>
    </xdr:sp>
    <xdr:clientData/>
  </xdr:twoCellAnchor>
  <xdr:twoCellAnchor>
    <xdr:from>
      <xdr:col>1</xdr:col>
      <xdr:colOff>476250</xdr:colOff>
      <xdr:row>18</xdr:row>
      <xdr:rowOff>57150</xdr:rowOff>
    </xdr:from>
    <xdr:to>
      <xdr:col>4</xdr:col>
      <xdr:colOff>672669</xdr:colOff>
      <xdr:row>20</xdr:row>
      <xdr:rowOff>9525</xdr:rowOff>
    </xdr:to>
    <xdr:sp macro="" textlink="">
      <xdr:nvSpPr>
        <xdr:cNvPr id="15" name="Rectá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733425" y="3676650"/>
          <a:ext cx="1863294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LIQUIDEZ</a:t>
          </a:r>
        </a:p>
      </xdr:txBody>
    </xdr:sp>
    <xdr:clientData/>
  </xdr:twoCellAnchor>
  <xdr:twoCellAnchor>
    <xdr:from>
      <xdr:col>7</xdr:col>
      <xdr:colOff>180973</xdr:colOff>
      <xdr:row>15</xdr:row>
      <xdr:rowOff>161925</xdr:rowOff>
    </xdr:from>
    <xdr:to>
      <xdr:col>13</xdr:col>
      <xdr:colOff>617696</xdr:colOff>
      <xdr:row>17</xdr:row>
      <xdr:rowOff>57150</xdr:rowOff>
    </xdr:to>
    <xdr:sp macro="" textlink="">
      <xdr:nvSpPr>
        <xdr:cNvPr id="16" name="Rectángul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2905123" y="3209925"/>
          <a:ext cx="2113123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RAZONES FINANCIERAS</a:t>
          </a:r>
        </a:p>
      </xdr:txBody>
    </xdr:sp>
    <xdr:clientData/>
  </xdr:twoCellAnchor>
  <xdr:twoCellAnchor>
    <xdr:from>
      <xdr:col>13</xdr:col>
      <xdr:colOff>695325</xdr:colOff>
      <xdr:row>17</xdr:row>
      <xdr:rowOff>171450</xdr:rowOff>
    </xdr:from>
    <xdr:to>
      <xdr:col>15</xdr:col>
      <xdr:colOff>577419</xdr:colOff>
      <xdr:row>19</xdr:row>
      <xdr:rowOff>123825</xdr:rowOff>
    </xdr:to>
    <xdr:sp macro="" textlink="">
      <xdr:nvSpPr>
        <xdr:cNvPr id="18" name="Rectángul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5095875" y="3600450"/>
          <a:ext cx="1863294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UTILIDAD</a:t>
          </a:r>
        </a:p>
      </xdr:txBody>
    </xdr:sp>
    <xdr:clientData/>
  </xdr:twoCellAnchor>
  <xdr:twoCellAnchor>
    <xdr:from>
      <xdr:col>7</xdr:col>
      <xdr:colOff>209550</xdr:colOff>
      <xdr:row>17</xdr:row>
      <xdr:rowOff>180975</xdr:rowOff>
    </xdr:from>
    <xdr:to>
      <xdr:col>13</xdr:col>
      <xdr:colOff>396444</xdr:colOff>
      <xdr:row>19</xdr:row>
      <xdr:rowOff>133350</xdr:rowOff>
    </xdr:to>
    <xdr:sp macro="" textlink="">
      <xdr:nvSpPr>
        <xdr:cNvPr id="19" name="Rectángul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2933700" y="3609975"/>
          <a:ext cx="1863294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DEUDA</a:t>
          </a:r>
        </a:p>
      </xdr:txBody>
    </xdr:sp>
    <xdr:clientData/>
  </xdr:twoCellAnchor>
  <xdr:twoCellAnchor>
    <xdr:from>
      <xdr:col>7</xdr:col>
      <xdr:colOff>266700</xdr:colOff>
      <xdr:row>20</xdr:row>
      <xdr:rowOff>85725</xdr:rowOff>
    </xdr:from>
    <xdr:to>
      <xdr:col>14</xdr:col>
      <xdr:colOff>47625</xdr:colOff>
      <xdr:row>23</xdr:row>
      <xdr:rowOff>133350</xdr:rowOff>
    </xdr:to>
    <xdr:sp macro="" textlink="">
      <xdr:nvSpPr>
        <xdr:cNvPr id="20" name="Rectángulo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990850" y="4086225"/>
          <a:ext cx="2400300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 b="1" i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GENERAL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1</xdr:row>
      <xdr:rowOff>371475</xdr:rowOff>
    </xdr:from>
    <xdr:to>
      <xdr:col>17</xdr:col>
      <xdr:colOff>752475</xdr:colOff>
      <xdr:row>4</xdr:row>
      <xdr:rowOff>9525</xdr:rowOff>
    </xdr:to>
    <xdr:sp macro="[0]!OrdDeud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53275" y="561975"/>
          <a:ext cx="1504950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ACTUALIZAR</a:t>
          </a:r>
        </a:p>
      </xdr:txBody>
    </xdr:sp>
    <xdr:clientData/>
  </xdr:twoCellAnchor>
  <xdr:twoCellAnchor>
    <xdr:from>
      <xdr:col>16</xdr:col>
      <xdr:colOff>0</xdr:colOff>
      <xdr:row>4</xdr:row>
      <xdr:rowOff>180975</xdr:rowOff>
    </xdr:from>
    <xdr:to>
      <xdr:col>22</xdr:col>
      <xdr:colOff>0</xdr:colOff>
      <xdr:row>19</xdr:row>
      <xdr:rowOff>66675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409575</xdr:colOff>
      <xdr:row>19</xdr:row>
      <xdr:rowOff>171450</xdr:rowOff>
    </xdr:from>
    <xdr:to>
      <xdr:col>15</xdr:col>
      <xdr:colOff>352425</xdr:colOff>
      <xdr:row>22</xdr:row>
      <xdr:rowOff>57150</xdr:rowOff>
    </xdr:to>
    <xdr:sp macro="" textlink="">
      <xdr:nvSpPr>
        <xdr:cNvPr id="5" name="Elips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5753100" y="3981450"/>
          <a:ext cx="981075" cy="457200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 i="1"/>
            <a:t>INICIO</a:t>
          </a:r>
        </a:p>
      </xdr:txBody>
    </xdr:sp>
    <xdr:clientData/>
  </xdr:twoCellAnchor>
  <xdr:twoCellAnchor>
    <xdr:from>
      <xdr:col>1</xdr:col>
      <xdr:colOff>514349</xdr:colOff>
      <xdr:row>16</xdr:row>
      <xdr:rowOff>0</xdr:rowOff>
    </xdr:from>
    <xdr:to>
      <xdr:col>4</xdr:col>
      <xdr:colOff>304799</xdr:colOff>
      <xdr:row>17</xdr:row>
      <xdr:rowOff>85725</xdr:rowOff>
    </xdr:to>
    <xdr:sp macro="" textlink="">
      <xdr:nvSpPr>
        <xdr:cNvPr id="6" name="Rectá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771524" y="3238500"/>
          <a:ext cx="145732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BASE DE DATOS</a:t>
          </a:r>
        </a:p>
      </xdr:txBody>
    </xdr:sp>
    <xdr:clientData/>
  </xdr:twoCellAnchor>
  <xdr:twoCellAnchor>
    <xdr:from>
      <xdr:col>14</xdr:col>
      <xdr:colOff>190499</xdr:colOff>
      <xdr:row>15</xdr:row>
      <xdr:rowOff>180975</xdr:rowOff>
    </xdr:from>
    <xdr:to>
      <xdr:col>15</xdr:col>
      <xdr:colOff>609599</xdr:colOff>
      <xdr:row>17</xdr:row>
      <xdr:rowOff>76200</xdr:rowOff>
    </xdr:to>
    <xdr:sp macro="" textlink="">
      <xdr:nvSpPr>
        <xdr:cNvPr id="7" name="Rectá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534024" y="3228975"/>
          <a:ext cx="145732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GRÁFICAS</a:t>
          </a:r>
        </a:p>
      </xdr:txBody>
    </xdr:sp>
    <xdr:clientData/>
  </xdr:twoCellAnchor>
  <xdr:twoCellAnchor>
    <xdr:from>
      <xdr:col>1</xdr:col>
      <xdr:colOff>285750</xdr:colOff>
      <xdr:row>18</xdr:row>
      <xdr:rowOff>9525</xdr:rowOff>
    </xdr:from>
    <xdr:to>
      <xdr:col>4</xdr:col>
      <xdr:colOff>482169</xdr:colOff>
      <xdr:row>19</xdr:row>
      <xdr:rowOff>152400</xdr:rowOff>
    </xdr:to>
    <xdr:sp macro="" textlink="">
      <xdr:nvSpPr>
        <xdr:cNvPr id="8" name="Rectá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542925" y="3629025"/>
          <a:ext cx="1863294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LIQUIDEZ</a:t>
          </a:r>
        </a:p>
      </xdr:txBody>
    </xdr:sp>
    <xdr:clientData/>
  </xdr:twoCellAnchor>
  <xdr:twoCellAnchor>
    <xdr:from>
      <xdr:col>7</xdr:col>
      <xdr:colOff>66673</xdr:colOff>
      <xdr:row>16</xdr:row>
      <xdr:rowOff>0</xdr:rowOff>
    </xdr:from>
    <xdr:to>
      <xdr:col>13</xdr:col>
      <xdr:colOff>503396</xdr:colOff>
      <xdr:row>17</xdr:row>
      <xdr:rowOff>85725</xdr:rowOff>
    </xdr:to>
    <xdr:sp macro="" textlink="">
      <xdr:nvSpPr>
        <xdr:cNvPr id="9" name="Rectá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790823" y="3238500"/>
          <a:ext cx="2113123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RAZONES FINANCIERAS</a:t>
          </a:r>
        </a:p>
      </xdr:txBody>
    </xdr:sp>
    <xdr:clientData/>
  </xdr:twoCellAnchor>
  <xdr:twoCellAnchor>
    <xdr:from>
      <xdr:col>7</xdr:col>
      <xdr:colOff>19050</xdr:colOff>
      <xdr:row>18</xdr:row>
      <xdr:rowOff>0</xdr:rowOff>
    </xdr:from>
    <xdr:to>
      <xdr:col>13</xdr:col>
      <xdr:colOff>539047</xdr:colOff>
      <xdr:row>19</xdr:row>
      <xdr:rowOff>142875</xdr:rowOff>
    </xdr:to>
    <xdr:sp macro="" textlink="">
      <xdr:nvSpPr>
        <xdr:cNvPr id="10" name="Rectá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2743200" y="3619500"/>
          <a:ext cx="2196397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RENTABILIDAD</a:t>
          </a:r>
        </a:p>
      </xdr:txBody>
    </xdr:sp>
    <xdr:clientData/>
  </xdr:twoCellAnchor>
  <xdr:twoCellAnchor>
    <xdr:from>
      <xdr:col>13</xdr:col>
      <xdr:colOff>885825</xdr:colOff>
      <xdr:row>18</xdr:row>
      <xdr:rowOff>0</xdr:rowOff>
    </xdr:from>
    <xdr:to>
      <xdr:col>16</xdr:col>
      <xdr:colOff>5919</xdr:colOff>
      <xdr:row>19</xdr:row>
      <xdr:rowOff>142875</xdr:rowOff>
    </xdr:to>
    <xdr:sp macro="" textlink="">
      <xdr:nvSpPr>
        <xdr:cNvPr id="11" name="Rectá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5286375" y="3619500"/>
          <a:ext cx="1863294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UTILIDAD</a:t>
          </a:r>
        </a:p>
      </xdr:txBody>
    </xdr:sp>
    <xdr:clientData/>
  </xdr:twoCellAnchor>
  <xdr:twoCellAnchor>
    <xdr:from>
      <xdr:col>4</xdr:col>
      <xdr:colOff>685800</xdr:colOff>
      <xdr:row>20</xdr:row>
      <xdr:rowOff>95250</xdr:rowOff>
    </xdr:from>
    <xdr:to>
      <xdr:col>13</xdr:col>
      <xdr:colOff>609600</xdr:colOff>
      <xdr:row>23</xdr:row>
      <xdr:rowOff>142875</xdr:rowOff>
    </xdr:to>
    <xdr:sp macro="" textlink="">
      <xdr:nvSpPr>
        <xdr:cNvPr id="13" name="Rectá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2609850" y="4095750"/>
          <a:ext cx="2400300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 b="1" i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GENERAL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371475</xdr:rowOff>
    </xdr:from>
    <xdr:to>
      <xdr:col>17</xdr:col>
      <xdr:colOff>752475</xdr:colOff>
      <xdr:row>3</xdr:row>
      <xdr:rowOff>171450</xdr:rowOff>
    </xdr:to>
    <xdr:sp macro="[0]!OrdUti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143750" y="561975"/>
          <a:ext cx="15144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ACTUALIZAR</a:t>
          </a:r>
        </a:p>
      </xdr:txBody>
    </xdr:sp>
    <xdr:clientData/>
  </xdr:twoCellAnchor>
  <xdr:twoCellAnchor>
    <xdr:from>
      <xdr:col>16</xdr:col>
      <xdr:colOff>9525</xdr:colOff>
      <xdr:row>5</xdr:row>
      <xdr:rowOff>19050</xdr:rowOff>
    </xdr:from>
    <xdr:to>
      <xdr:col>22</xdr:col>
      <xdr:colOff>9525</xdr:colOff>
      <xdr:row>19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923924</xdr:colOff>
      <xdr:row>14</xdr:row>
      <xdr:rowOff>171450</xdr:rowOff>
    </xdr:from>
    <xdr:to>
      <xdr:col>4</xdr:col>
      <xdr:colOff>714374</xdr:colOff>
      <xdr:row>16</xdr:row>
      <xdr:rowOff>66675</xdr:rowOff>
    </xdr:to>
    <xdr:sp macro="" textlink="">
      <xdr:nvSpPr>
        <xdr:cNvPr id="5" name="Rectá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181099" y="3028950"/>
          <a:ext cx="145732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BASE DE DATOS</a:t>
          </a:r>
        </a:p>
      </xdr:txBody>
    </xdr:sp>
    <xdr:clientData/>
  </xdr:twoCellAnchor>
  <xdr:twoCellAnchor>
    <xdr:from>
      <xdr:col>14</xdr:col>
      <xdr:colOff>600074</xdr:colOff>
      <xdr:row>14</xdr:row>
      <xdr:rowOff>161925</xdr:rowOff>
    </xdr:from>
    <xdr:to>
      <xdr:col>16</xdr:col>
      <xdr:colOff>257174</xdr:colOff>
      <xdr:row>16</xdr:row>
      <xdr:rowOff>57150</xdr:rowOff>
    </xdr:to>
    <xdr:sp macro="" textlink="">
      <xdr:nvSpPr>
        <xdr:cNvPr id="6" name="Rectá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943599" y="3019425"/>
          <a:ext cx="145732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GRÁFICAS</a:t>
          </a:r>
        </a:p>
      </xdr:txBody>
    </xdr:sp>
    <xdr:clientData/>
  </xdr:twoCellAnchor>
  <xdr:twoCellAnchor>
    <xdr:from>
      <xdr:col>0</xdr:col>
      <xdr:colOff>104775</xdr:colOff>
      <xdr:row>16</xdr:row>
      <xdr:rowOff>180975</xdr:rowOff>
    </xdr:from>
    <xdr:to>
      <xdr:col>4</xdr:col>
      <xdr:colOff>44019</xdr:colOff>
      <xdr:row>18</xdr:row>
      <xdr:rowOff>133350</xdr:rowOff>
    </xdr:to>
    <xdr:sp macro="" textlink="">
      <xdr:nvSpPr>
        <xdr:cNvPr id="7" name="Rectá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04775" y="3419475"/>
          <a:ext cx="1863294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LIQUIDEZ</a:t>
          </a:r>
        </a:p>
      </xdr:txBody>
    </xdr:sp>
    <xdr:clientData/>
  </xdr:twoCellAnchor>
  <xdr:twoCellAnchor>
    <xdr:from>
      <xdr:col>7</xdr:col>
      <xdr:colOff>476248</xdr:colOff>
      <xdr:row>14</xdr:row>
      <xdr:rowOff>171450</xdr:rowOff>
    </xdr:from>
    <xdr:to>
      <xdr:col>13</xdr:col>
      <xdr:colOff>912971</xdr:colOff>
      <xdr:row>16</xdr:row>
      <xdr:rowOff>66675</xdr:rowOff>
    </xdr:to>
    <xdr:sp macro="" textlink="">
      <xdr:nvSpPr>
        <xdr:cNvPr id="8" name="Rectá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3200398" y="3028950"/>
          <a:ext cx="2113123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RAZONES FINANCIERAS</a:t>
          </a:r>
        </a:p>
      </xdr:txBody>
    </xdr:sp>
    <xdr:clientData/>
  </xdr:twoCellAnchor>
  <xdr:twoCellAnchor>
    <xdr:from>
      <xdr:col>10</xdr:col>
      <xdr:colOff>590550</xdr:colOff>
      <xdr:row>17</xdr:row>
      <xdr:rowOff>0</xdr:rowOff>
    </xdr:from>
    <xdr:to>
      <xdr:col>14</xdr:col>
      <xdr:colOff>939097</xdr:colOff>
      <xdr:row>18</xdr:row>
      <xdr:rowOff>142875</xdr:rowOff>
    </xdr:to>
    <xdr:sp macro="" textlink="">
      <xdr:nvSpPr>
        <xdr:cNvPr id="9" name="Rectá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4086225" y="3429000"/>
          <a:ext cx="2196397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RENTABILIDAD</a:t>
          </a:r>
        </a:p>
      </xdr:txBody>
    </xdr:sp>
    <xdr:clientData/>
  </xdr:twoCellAnchor>
  <xdr:twoCellAnchor>
    <xdr:from>
      <xdr:col>4</xdr:col>
      <xdr:colOff>190500</xdr:colOff>
      <xdr:row>16</xdr:row>
      <xdr:rowOff>180975</xdr:rowOff>
    </xdr:from>
    <xdr:to>
      <xdr:col>10</xdr:col>
      <xdr:colOff>482169</xdr:colOff>
      <xdr:row>18</xdr:row>
      <xdr:rowOff>133350</xdr:rowOff>
    </xdr:to>
    <xdr:sp macro="" textlink="">
      <xdr:nvSpPr>
        <xdr:cNvPr id="11" name="Rectá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2114550" y="3419475"/>
          <a:ext cx="1863294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DEUDA</a:t>
          </a:r>
        </a:p>
      </xdr:txBody>
    </xdr:sp>
    <xdr:clientData/>
  </xdr:twoCellAnchor>
  <xdr:twoCellAnchor>
    <xdr:from>
      <xdr:col>7</xdr:col>
      <xdr:colOff>561975</xdr:colOff>
      <xdr:row>19</xdr:row>
      <xdr:rowOff>95250</xdr:rowOff>
    </xdr:from>
    <xdr:to>
      <xdr:col>14</xdr:col>
      <xdr:colOff>342900</xdr:colOff>
      <xdr:row>22</xdr:row>
      <xdr:rowOff>142875</xdr:rowOff>
    </xdr:to>
    <xdr:sp macro="" textlink="">
      <xdr:nvSpPr>
        <xdr:cNvPr id="12" name="Rectá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3286125" y="3905250"/>
          <a:ext cx="2400300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 b="1" i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GENERAL</a:t>
          </a:r>
        </a:p>
      </xdr:txBody>
    </xdr:sp>
    <xdr:clientData/>
  </xdr:twoCellAnchor>
  <xdr:twoCellAnchor>
    <xdr:from>
      <xdr:col>14</xdr:col>
      <xdr:colOff>657225</xdr:colOff>
      <xdr:row>20</xdr:row>
      <xdr:rowOff>161925</xdr:rowOff>
    </xdr:from>
    <xdr:to>
      <xdr:col>15</xdr:col>
      <xdr:colOff>600075</xdr:colOff>
      <xdr:row>23</xdr:row>
      <xdr:rowOff>47625</xdr:rowOff>
    </xdr:to>
    <xdr:sp macro="" textlink="">
      <xdr:nvSpPr>
        <xdr:cNvPr id="13" name="Elipse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6000750" y="4162425"/>
          <a:ext cx="981075" cy="457200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 i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752475</xdr:colOff>
      <xdr:row>1</xdr:row>
      <xdr:rowOff>361950</xdr:rowOff>
    </xdr:from>
    <xdr:to>
      <xdr:col>17</xdr:col>
      <xdr:colOff>752475</xdr:colOff>
      <xdr:row>3</xdr:row>
      <xdr:rowOff>180975</xdr:rowOff>
    </xdr:to>
    <xdr:sp macro="[0]!OrdGr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134225" y="552450"/>
          <a:ext cx="1524000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ACTUALIZAR</a:t>
          </a:r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22</xdr:col>
      <xdr:colOff>0</xdr:colOff>
      <xdr:row>19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23</xdr:row>
      <xdr:rowOff>133350</xdr:rowOff>
    </xdr:from>
    <xdr:to>
      <xdr:col>16</xdr:col>
      <xdr:colOff>228600</xdr:colOff>
      <xdr:row>26</xdr:row>
      <xdr:rowOff>19050</xdr:rowOff>
    </xdr:to>
    <xdr:sp macro="" textlink="">
      <xdr:nvSpPr>
        <xdr:cNvPr id="4" name="Elips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391275" y="4705350"/>
          <a:ext cx="981075" cy="457200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 i="1"/>
            <a:t>INICIO</a:t>
          </a:r>
        </a:p>
      </xdr:txBody>
    </xdr:sp>
    <xdr:clientData/>
  </xdr:twoCellAnchor>
  <xdr:twoCellAnchor>
    <xdr:from>
      <xdr:col>1</xdr:col>
      <xdr:colOff>981074</xdr:colOff>
      <xdr:row>18</xdr:row>
      <xdr:rowOff>152400</xdr:rowOff>
    </xdr:from>
    <xdr:to>
      <xdr:col>4</xdr:col>
      <xdr:colOff>771524</xdr:colOff>
      <xdr:row>20</xdr:row>
      <xdr:rowOff>47625</xdr:rowOff>
    </xdr:to>
    <xdr:sp macro="" textlink="">
      <xdr:nvSpPr>
        <xdr:cNvPr id="5" name="Rectá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238249" y="3771900"/>
          <a:ext cx="145732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BASE DE DATOS</a:t>
          </a:r>
        </a:p>
      </xdr:txBody>
    </xdr:sp>
    <xdr:clientData/>
  </xdr:twoCellAnchor>
  <xdr:twoCellAnchor>
    <xdr:from>
      <xdr:col>14</xdr:col>
      <xdr:colOff>657224</xdr:colOff>
      <xdr:row>18</xdr:row>
      <xdr:rowOff>142875</xdr:rowOff>
    </xdr:from>
    <xdr:to>
      <xdr:col>16</xdr:col>
      <xdr:colOff>314324</xdr:colOff>
      <xdr:row>20</xdr:row>
      <xdr:rowOff>38100</xdr:rowOff>
    </xdr:to>
    <xdr:sp macro="" textlink="">
      <xdr:nvSpPr>
        <xdr:cNvPr id="6" name="Rectá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6000749" y="3762375"/>
          <a:ext cx="145732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GRÁFICAS</a:t>
          </a:r>
        </a:p>
      </xdr:txBody>
    </xdr:sp>
    <xdr:clientData/>
  </xdr:twoCellAnchor>
  <xdr:twoCellAnchor>
    <xdr:from>
      <xdr:col>0</xdr:col>
      <xdr:colOff>161925</xdr:colOff>
      <xdr:row>20</xdr:row>
      <xdr:rowOff>161925</xdr:rowOff>
    </xdr:from>
    <xdr:to>
      <xdr:col>4</xdr:col>
      <xdr:colOff>101169</xdr:colOff>
      <xdr:row>22</xdr:row>
      <xdr:rowOff>114300</xdr:rowOff>
    </xdr:to>
    <xdr:sp macro="" textlink="">
      <xdr:nvSpPr>
        <xdr:cNvPr id="7" name="Rectá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61925" y="4162425"/>
          <a:ext cx="1863294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LIQUIDEZ</a:t>
          </a:r>
        </a:p>
      </xdr:txBody>
    </xdr:sp>
    <xdr:clientData/>
  </xdr:twoCellAnchor>
  <xdr:twoCellAnchor>
    <xdr:from>
      <xdr:col>7</xdr:col>
      <xdr:colOff>533398</xdr:colOff>
      <xdr:row>18</xdr:row>
      <xdr:rowOff>152400</xdr:rowOff>
    </xdr:from>
    <xdr:to>
      <xdr:col>14</xdr:col>
      <xdr:colOff>27146</xdr:colOff>
      <xdr:row>20</xdr:row>
      <xdr:rowOff>47625</xdr:rowOff>
    </xdr:to>
    <xdr:sp macro="" textlink="">
      <xdr:nvSpPr>
        <xdr:cNvPr id="8" name="Rectá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3257548" y="3771900"/>
          <a:ext cx="2113123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RAZONES FINANCIERAS</a:t>
          </a:r>
        </a:p>
      </xdr:txBody>
    </xdr:sp>
    <xdr:clientData/>
  </xdr:twoCellAnchor>
  <xdr:twoCellAnchor>
    <xdr:from>
      <xdr:col>10</xdr:col>
      <xdr:colOff>647700</xdr:colOff>
      <xdr:row>20</xdr:row>
      <xdr:rowOff>171450</xdr:rowOff>
    </xdr:from>
    <xdr:to>
      <xdr:col>14</xdr:col>
      <xdr:colOff>996247</xdr:colOff>
      <xdr:row>22</xdr:row>
      <xdr:rowOff>123825</xdr:rowOff>
    </xdr:to>
    <xdr:sp macro="" textlink="">
      <xdr:nvSpPr>
        <xdr:cNvPr id="9" name="Rectá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4143375" y="4171950"/>
          <a:ext cx="2196397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RENTABILIDAD</a:t>
          </a:r>
        </a:p>
      </xdr:txBody>
    </xdr:sp>
    <xdr:clientData/>
  </xdr:twoCellAnchor>
  <xdr:twoCellAnchor>
    <xdr:from>
      <xdr:col>15</xdr:col>
      <xdr:colOff>47625</xdr:colOff>
      <xdr:row>20</xdr:row>
      <xdr:rowOff>161925</xdr:rowOff>
    </xdr:from>
    <xdr:to>
      <xdr:col>17</xdr:col>
      <xdr:colOff>386919</xdr:colOff>
      <xdr:row>22</xdr:row>
      <xdr:rowOff>114300</xdr:rowOff>
    </xdr:to>
    <xdr:sp macro="" textlink="">
      <xdr:nvSpPr>
        <xdr:cNvPr id="10" name="Rectá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6429375" y="4162425"/>
          <a:ext cx="1863294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UTILIDAD</a:t>
          </a:r>
        </a:p>
      </xdr:txBody>
    </xdr:sp>
    <xdr:clientData/>
  </xdr:twoCellAnchor>
  <xdr:twoCellAnchor>
    <xdr:from>
      <xdr:col>4</xdr:col>
      <xdr:colOff>247650</xdr:colOff>
      <xdr:row>20</xdr:row>
      <xdr:rowOff>161925</xdr:rowOff>
    </xdr:from>
    <xdr:to>
      <xdr:col>10</xdr:col>
      <xdr:colOff>539319</xdr:colOff>
      <xdr:row>22</xdr:row>
      <xdr:rowOff>114300</xdr:rowOff>
    </xdr:to>
    <xdr:sp macro="" textlink="">
      <xdr:nvSpPr>
        <xdr:cNvPr id="11" name="Rectángul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2171700" y="4162425"/>
          <a:ext cx="1863294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a:rPr>
            <a:t>RANKING DEUDA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4" name="Tabla4" displayName="Tabla4" ref="B2:O12" totalsRowShown="0" headerRowDxfId="79" tableBorderDxfId="78">
  <autoFilter ref="B2:O12"/>
  <sortState ref="B3:O12">
    <sortCondition descending="1" ref="E2:E12"/>
  </sortState>
  <tableColumns count="14">
    <tableColumn id="1" name="NOMBRE DE LA EMPRESA" dataDxfId="77">
      <calculatedColumnFormula>'RAZONES FINANCIERAS'!A3</calculatedColumnFormula>
    </tableColumn>
    <tableColumn id="2" name="RAPIDA" dataDxfId="76">
      <calculatedColumnFormula>'RAZONES FINANCIERAS'!B18</calculatedColumnFormula>
    </tableColumn>
    <tableColumn id="3" name="CIRCULANTE" dataDxfId="75">
      <calculatedColumnFormula>'RAZONES FINANCIERAS'!C18</calculatedColumnFormula>
    </tableColumn>
    <tableColumn id="4" name="CALIF.LIQ." dataDxfId="74">
      <calculatedColumnFormula>'RAZONES FINANCIERAS'!D18</calculatedColumnFormula>
    </tableColumn>
    <tableColumn id="5" name="ACTIVOS" dataDxfId="73">
      <calculatedColumnFormula>'RAZONES FINANCIERAS'!E18</calculatedColumnFormula>
    </tableColumn>
    <tableColumn id="6" name="CAPITAL" dataDxfId="72">
      <calculatedColumnFormula>'RAZONES FINANCIERAS'!F18</calculatedColumnFormula>
    </tableColumn>
    <tableColumn id="7" name="CAL.RENT" dataDxfId="71">
      <calculatedColumnFormula>'RAZONES FINANCIERAS'!G18</calculatedColumnFormula>
    </tableColumn>
    <tableColumn id="8" name="TOTAL" dataDxfId="70">
      <calculatedColumnFormula>'RAZONES FINANCIERAS'!H18</calculatedColumnFormula>
    </tableColumn>
    <tableColumn id="9" name="CAPITAL2" dataDxfId="69">
      <calculatedColumnFormula>'RAZONES FINANCIERAS'!I18</calculatedColumnFormula>
    </tableColumn>
    <tableColumn id="10" name="CAL. DEUDA" dataDxfId="68">
      <calculatedColumnFormula>'RAZONES FINANCIERAS'!J18</calculatedColumnFormula>
    </tableColumn>
    <tableColumn id="11" name="INVENTARIOS" dataDxfId="67">
      <calculatedColumnFormula>'RAZONES FINANCIERAS'!K18</calculatedColumnFormula>
    </tableColumn>
    <tableColumn id="12" name="ACT. TOTAL" dataDxfId="66">
      <calculatedColumnFormula>'RAZONES FINANCIERAS'!L18</calculatedColumnFormula>
    </tableColumn>
    <tableColumn id="13" name="CAL. UT. ACT" dataDxfId="65">
      <calculatedColumnFormula>'RAZONES FINANCIERAS'!M18</calculatedColumnFormula>
    </tableColumn>
    <tableColumn id="14" name="CALIFICACION" dataDxfId="64">
      <calculatedColumnFormula>'RAZONES FINANCIERAS'!N18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5" name="Tabla46" displayName="Tabla46" ref="B2:O12" totalsRowShown="0" headerRowDxfId="63" tableBorderDxfId="62">
  <autoFilter ref="B2:O12"/>
  <sortState ref="B3:O12">
    <sortCondition descending="1" ref="H2:H12"/>
  </sortState>
  <tableColumns count="14">
    <tableColumn id="1" name="NOMBRE DE LA EMPRESA" dataDxfId="61">
      <calculatedColumnFormula>'RAZONES FINANCIERAS'!A3</calculatedColumnFormula>
    </tableColumn>
    <tableColumn id="2" name="RAPIDA" dataDxfId="60">
      <calculatedColumnFormula>'RAZONES FINANCIERAS'!B18</calculatedColumnFormula>
    </tableColumn>
    <tableColumn id="3" name="CIRCULANTE" dataDxfId="59">
      <calculatedColumnFormula>'RAZONES FINANCIERAS'!C18</calculatedColumnFormula>
    </tableColumn>
    <tableColumn id="4" name="CALIF.LIQ." dataDxfId="58">
      <calculatedColumnFormula>'RAZONES FINANCIERAS'!D18</calculatedColumnFormula>
    </tableColumn>
    <tableColumn id="5" name="ACTIVOS" dataDxfId="57">
      <calculatedColumnFormula>'RAZONES FINANCIERAS'!E18</calculatedColumnFormula>
    </tableColumn>
    <tableColumn id="6" name="CAPITAL" dataDxfId="56">
      <calculatedColumnFormula>'RAZONES FINANCIERAS'!F18</calculatedColumnFormula>
    </tableColumn>
    <tableColumn id="7" name="CAL.RENT" dataDxfId="55">
      <calculatedColumnFormula>'RAZONES FINANCIERAS'!G18</calculatedColumnFormula>
    </tableColumn>
    <tableColumn id="8" name="TOTAL" dataDxfId="54">
      <calculatedColumnFormula>'RAZONES FINANCIERAS'!H18</calculatedColumnFormula>
    </tableColumn>
    <tableColumn id="9" name="CAPITAL2" dataDxfId="53">
      <calculatedColumnFormula>'RAZONES FINANCIERAS'!I18</calculatedColumnFormula>
    </tableColumn>
    <tableColumn id="10" name="CAL. DEUDA" dataDxfId="52">
      <calculatedColumnFormula>'RAZONES FINANCIERAS'!J18</calculatedColumnFormula>
    </tableColumn>
    <tableColumn id="11" name="INVENTARIOS" dataDxfId="51">
      <calculatedColumnFormula>'RAZONES FINANCIERAS'!K18</calculatedColumnFormula>
    </tableColumn>
    <tableColumn id="12" name="ACT. TOTAL" dataDxfId="50">
      <calculatedColumnFormula>'RAZONES FINANCIERAS'!L18</calculatedColumnFormula>
    </tableColumn>
    <tableColumn id="13" name="CAL. UT. ACT" dataDxfId="49">
      <calculatedColumnFormula>'RAZONES FINANCIERAS'!M18</calculatedColumnFormula>
    </tableColumn>
    <tableColumn id="14" name="CALIFICACION" dataDxfId="48">
      <calculatedColumnFormula>'RAZONES FINANCIERAS'!N18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6" name="Tabla467" displayName="Tabla467" ref="B2:O12" totalsRowShown="0" headerRowDxfId="47" tableBorderDxfId="46">
  <autoFilter ref="B2:O12"/>
  <sortState ref="B3:O12">
    <sortCondition descending="1" ref="K2:K12"/>
  </sortState>
  <tableColumns count="14">
    <tableColumn id="1" name="NOMBRE DE LA EMPRESA" dataDxfId="45">
      <calculatedColumnFormula>'RAZONES FINANCIERAS'!A3</calculatedColumnFormula>
    </tableColumn>
    <tableColumn id="2" name="RAPIDA" dataDxfId="44">
      <calculatedColumnFormula>'RAZONES FINANCIERAS'!B18</calculatedColumnFormula>
    </tableColumn>
    <tableColumn id="3" name="CIRCULANTE" dataDxfId="43">
      <calculatedColumnFormula>'RAZONES FINANCIERAS'!C18</calculatedColumnFormula>
    </tableColumn>
    <tableColumn id="4" name="CALIF.LIQ." dataDxfId="42">
      <calculatedColumnFormula>'RAZONES FINANCIERAS'!D18</calculatedColumnFormula>
    </tableColumn>
    <tableColumn id="5" name="ACTIVOS" dataDxfId="41">
      <calculatedColumnFormula>'RAZONES FINANCIERAS'!E18</calculatedColumnFormula>
    </tableColumn>
    <tableColumn id="6" name="CAPITAL" dataDxfId="40">
      <calculatedColumnFormula>'RAZONES FINANCIERAS'!F18</calculatedColumnFormula>
    </tableColumn>
    <tableColumn id="7" name="CAL.RENT" dataDxfId="39">
      <calculatedColumnFormula>'RAZONES FINANCIERAS'!G18</calculatedColumnFormula>
    </tableColumn>
    <tableColumn id="8" name="TOTAL" dataDxfId="38">
      <calculatedColumnFormula>'RAZONES FINANCIERAS'!H18</calculatedColumnFormula>
    </tableColumn>
    <tableColumn id="9" name="CAPITAL2" dataDxfId="37">
      <calculatedColumnFormula>'RAZONES FINANCIERAS'!I18</calculatedColumnFormula>
    </tableColumn>
    <tableColumn id="10" name="CAL. DEUDA" dataDxfId="36">
      <calculatedColumnFormula>'RAZONES FINANCIERAS'!J18</calculatedColumnFormula>
    </tableColumn>
    <tableColumn id="11" name="INVENTARIOS" dataDxfId="35">
      <calculatedColumnFormula>'RAZONES FINANCIERAS'!K18</calculatedColumnFormula>
    </tableColumn>
    <tableColumn id="12" name="ACT. TOTAL" dataDxfId="34">
      <calculatedColumnFormula>'RAZONES FINANCIERAS'!L18</calculatedColumnFormula>
    </tableColumn>
    <tableColumn id="13" name="CAL. UT. ACT" dataDxfId="33">
      <calculatedColumnFormula>'RAZONES FINANCIERAS'!M18</calculatedColumnFormula>
    </tableColumn>
    <tableColumn id="14" name="CALIFICACION" dataDxfId="32">
      <calculatedColumnFormula>'RAZONES FINANCIERAS'!N18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7" name="Tabla4678" displayName="Tabla4678" ref="B2:O12" totalsRowShown="0" headerRowDxfId="31" tableBorderDxfId="30">
  <autoFilter ref="B2:O12"/>
  <sortState ref="B3:O12">
    <sortCondition descending="1" ref="N2:N12"/>
  </sortState>
  <tableColumns count="14">
    <tableColumn id="1" name="NOMBRE DE LA EMPRESA" dataDxfId="29">
      <calculatedColumnFormula>'RAZONES FINANCIERAS'!A3</calculatedColumnFormula>
    </tableColumn>
    <tableColumn id="2" name="RAPIDA" dataDxfId="28">
      <calculatedColumnFormula>'RAZONES FINANCIERAS'!B18</calculatedColumnFormula>
    </tableColumn>
    <tableColumn id="3" name="CIRCULANTE" dataDxfId="27">
      <calculatedColumnFormula>'RAZONES FINANCIERAS'!C18</calculatedColumnFormula>
    </tableColumn>
    <tableColumn id="4" name="CALIF.LIQ." dataDxfId="26">
      <calculatedColumnFormula>'RAZONES FINANCIERAS'!D18</calculatedColumnFormula>
    </tableColumn>
    <tableColumn id="5" name="ACTIVOS" dataDxfId="25">
      <calculatedColumnFormula>'RAZONES FINANCIERAS'!E18</calculatedColumnFormula>
    </tableColumn>
    <tableColumn id="6" name="CAPITAL" dataDxfId="24">
      <calculatedColumnFormula>'RAZONES FINANCIERAS'!F18</calculatedColumnFormula>
    </tableColumn>
    <tableColumn id="7" name="CAL.RENT" dataDxfId="23">
      <calculatedColumnFormula>'RAZONES FINANCIERAS'!G18</calculatedColumnFormula>
    </tableColumn>
    <tableColumn id="8" name="TOTAL" dataDxfId="22">
      <calculatedColumnFormula>'RAZONES FINANCIERAS'!H18</calculatedColumnFormula>
    </tableColumn>
    <tableColumn id="9" name="CAPITAL2" dataDxfId="21">
      <calculatedColumnFormula>'RAZONES FINANCIERAS'!I18</calculatedColumnFormula>
    </tableColumn>
    <tableColumn id="10" name="CAL. DEUDA" dataDxfId="20">
      <calculatedColumnFormula>'RAZONES FINANCIERAS'!J18</calculatedColumnFormula>
    </tableColumn>
    <tableColumn id="11" name="INVENTARIOS" dataDxfId="19">
      <calculatedColumnFormula>'RAZONES FINANCIERAS'!K18</calculatedColumnFormula>
    </tableColumn>
    <tableColumn id="12" name="ACT. TOTAL" dataDxfId="18">
      <calculatedColumnFormula>'RAZONES FINANCIERAS'!L18</calculatedColumnFormula>
    </tableColumn>
    <tableColumn id="13" name="CAL. UT. ACT" dataDxfId="17">
      <calculatedColumnFormula>'RAZONES FINANCIERAS'!M18</calculatedColumnFormula>
    </tableColumn>
    <tableColumn id="14" name="CALIFICACION" dataDxfId="16">
      <calculatedColumnFormula>'RAZONES FINANCIERAS'!N18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8" name="Tabla46789" displayName="Tabla46789" ref="B2:O12" totalsRowShown="0" headerRowDxfId="15" tableBorderDxfId="14">
  <autoFilter ref="B2:O12"/>
  <sortState ref="B3:O12">
    <sortCondition descending="1" ref="O2:O12"/>
  </sortState>
  <tableColumns count="14">
    <tableColumn id="1" name="NOMBRE DE LA EMPRESA" dataDxfId="13">
      <calculatedColumnFormula>'RAZONES FINANCIERAS'!A3</calculatedColumnFormula>
    </tableColumn>
    <tableColumn id="2" name="RAPIDA" dataDxfId="12">
      <calculatedColumnFormula>'RAZONES FINANCIERAS'!B18</calculatedColumnFormula>
    </tableColumn>
    <tableColumn id="3" name="CIRCULANTE" dataDxfId="11">
      <calculatedColumnFormula>'RAZONES FINANCIERAS'!C18</calculatedColumnFormula>
    </tableColumn>
    <tableColumn id="4" name="CALIF.LIQ." dataDxfId="10">
      <calculatedColumnFormula>'RAZONES FINANCIERAS'!D18</calculatedColumnFormula>
    </tableColumn>
    <tableColumn id="5" name="ACTIVOS" dataDxfId="9">
      <calculatedColumnFormula>'RAZONES FINANCIERAS'!E18</calculatedColumnFormula>
    </tableColumn>
    <tableColumn id="6" name="CAPITAL" dataDxfId="8">
      <calculatedColumnFormula>'RAZONES FINANCIERAS'!F18</calculatedColumnFormula>
    </tableColumn>
    <tableColumn id="7" name="CAL.RENT" dataDxfId="7">
      <calculatedColumnFormula>'RAZONES FINANCIERAS'!G18</calculatedColumnFormula>
    </tableColumn>
    <tableColumn id="8" name="TOTAL" dataDxfId="6">
      <calculatedColumnFormula>'RAZONES FINANCIERAS'!H18</calculatedColumnFormula>
    </tableColumn>
    <tableColumn id="9" name="CAPITAL2" dataDxfId="5">
      <calculatedColumnFormula>'RAZONES FINANCIERAS'!I18</calculatedColumnFormula>
    </tableColumn>
    <tableColumn id="10" name="CAL. DEUDA" dataDxfId="4">
      <calculatedColumnFormula>'RAZONES FINANCIERAS'!J18</calculatedColumnFormula>
    </tableColumn>
    <tableColumn id="11" name="INVENTARIOS" dataDxfId="3">
      <calculatedColumnFormula>'RAZONES FINANCIERAS'!K18</calculatedColumnFormula>
    </tableColumn>
    <tableColumn id="12" name="ACT. TOTAL" dataDxfId="2">
      <calculatedColumnFormula>'RAZONES FINANCIERAS'!L18</calculatedColumnFormula>
    </tableColumn>
    <tableColumn id="13" name="CAL. UT. ACT" dataDxfId="1">
      <calculatedColumnFormula>'RAZONES FINANCIERAS'!M18</calculatedColumnFormula>
    </tableColumn>
    <tableColumn id="14" name="CALIFICACION" dataDxfId="0">
      <calculatedColumnFormula>'RAZONES FINANCIERAS'!N18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PowerPoint_Slide.sld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14"/>
  <sheetViews>
    <sheetView showGridLines="0" workbookViewId="0">
      <selection activeCell="D21" sqref="D21"/>
    </sheetView>
  </sheetViews>
  <sheetFormatPr baseColWidth="10" defaultRowHeight="15" x14ac:dyDescent="0.25"/>
  <cols>
    <col min="1" max="1" width="29" bestFit="1" customWidth="1"/>
    <col min="2" max="2" width="19" bestFit="1" customWidth="1"/>
    <col min="3" max="3" width="21.28515625" bestFit="1" customWidth="1"/>
    <col min="4" max="4" width="15.140625" bestFit="1" customWidth="1"/>
    <col min="5" max="5" width="24.5703125" bestFit="1" customWidth="1"/>
    <col min="6" max="6" width="16.28515625" bestFit="1" customWidth="1"/>
    <col min="7" max="7" width="17.85546875" bestFit="1" customWidth="1"/>
    <col min="8" max="8" width="25.5703125" bestFit="1" customWidth="1"/>
    <col min="9" max="9" width="25.28515625" bestFit="1" customWidth="1"/>
    <col min="10" max="10" width="17.28515625" bestFit="1" customWidth="1"/>
    <col min="11" max="11" width="21" bestFit="1" customWidth="1"/>
    <col min="12" max="12" width="17.85546875" bestFit="1" customWidth="1"/>
    <col min="13" max="13" width="21" bestFit="1" customWidth="1"/>
    <col min="14" max="14" width="18.28515625" bestFit="1" customWidth="1"/>
    <col min="15" max="15" width="27.7109375" bestFit="1" customWidth="1"/>
    <col min="16" max="16" width="26.140625" bestFit="1" customWidth="1"/>
  </cols>
  <sheetData>
    <row r="1" spans="1:16" ht="20.25" thickBot="1" x14ac:dyDescent="0.3">
      <c r="A1" s="24" t="s">
        <v>0</v>
      </c>
      <c r="B1" s="24" t="s">
        <v>2</v>
      </c>
      <c r="C1" s="24" t="s">
        <v>3</v>
      </c>
      <c r="D1" s="24" t="s">
        <v>4</v>
      </c>
      <c r="E1" s="24" t="s">
        <v>5</v>
      </c>
      <c r="F1" s="24" t="s">
        <v>1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</row>
    <row r="2" spans="1:16" ht="15.75" thickTop="1" x14ac:dyDescent="0.25">
      <c r="A2" s="3" t="s">
        <v>37</v>
      </c>
      <c r="B2" s="18">
        <v>130000</v>
      </c>
      <c r="C2" s="18">
        <v>90000</v>
      </c>
      <c r="D2" s="18">
        <v>403130</v>
      </c>
      <c r="E2" s="18">
        <v>629311</v>
      </c>
      <c r="F2" s="18">
        <f>B2-C2</f>
        <v>40000</v>
      </c>
      <c r="G2" s="18">
        <v>6099360</v>
      </c>
      <c r="H2" s="18">
        <v>1987984</v>
      </c>
      <c r="I2" s="18">
        <f>G2-H2</f>
        <v>4111376</v>
      </c>
      <c r="J2" s="18">
        <v>528038</v>
      </c>
      <c r="K2" s="18">
        <v>3307749</v>
      </c>
      <c r="L2" s="18">
        <v>10668771</v>
      </c>
      <c r="M2" s="18">
        <v>3787599</v>
      </c>
      <c r="N2" s="18">
        <v>6881172</v>
      </c>
      <c r="O2" s="18">
        <v>535677</v>
      </c>
      <c r="P2" s="18">
        <v>202962</v>
      </c>
    </row>
    <row r="3" spans="1:16" x14ac:dyDescent="0.25">
      <c r="A3" s="1" t="s">
        <v>39</v>
      </c>
      <c r="B3" s="19">
        <v>437790</v>
      </c>
      <c r="C3" s="19">
        <v>139365</v>
      </c>
      <c r="D3" s="19">
        <v>7459</v>
      </c>
      <c r="E3" s="19">
        <v>29740</v>
      </c>
      <c r="F3" s="19">
        <f>B3-C3</f>
        <v>298425</v>
      </c>
      <c r="G3" s="19">
        <v>355272</v>
      </c>
      <c r="H3" s="19">
        <v>285783</v>
      </c>
      <c r="I3" s="19">
        <f>G3-H3</f>
        <v>69489</v>
      </c>
      <c r="J3" s="19">
        <v>182447</v>
      </c>
      <c r="K3" s="19">
        <v>82518</v>
      </c>
      <c r="L3" s="19">
        <v>897333</v>
      </c>
      <c r="M3" s="19">
        <f>363196+144792</f>
        <v>507988</v>
      </c>
      <c r="N3" s="19">
        <f>L3-M3</f>
        <v>389345</v>
      </c>
      <c r="O3" s="19">
        <v>29043</v>
      </c>
      <c r="P3" s="19">
        <v>15613</v>
      </c>
    </row>
    <row r="4" spans="1:16" x14ac:dyDescent="0.25">
      <c r="A4" s="1" t="s">
        <v>41</v>
      </c>
      <c r="B4" s="19">
        <v>1332037179</v>
      </c>
      <c r="C4" s="19">
        <v>349696690</v>
      </c>
      <c r="D4" s="19">
        <v>36903080</v>
      </c>
      <c r="E4" s="19">
        <v>158336065</v>
      </c>
      <c r="F4" s="19">
        <f t="shared" ref="F4:F11" si="0">B4-C4</f>
        <v>982340489</v>
      </c>
      <c r="G4" s="19">
        <v>1398877199</v>
      </c>
      <c r="H4" s="19">
        <v>242960392</v>
      </c>
      <c r="I4" s="19">
        <f t="shared" ref="I4:I11" si="1">G4-H4</f>
        <v>1155916807</v>
      </c>
      <c r="J4" s="19">
        <v>3546159</v>
      </c>
      <c r="K4" s="19">
        <v>-66840020</v>
      </c>
      <c r="L4" s="19">
        <v>1089921331</v>
      </c>
      <c r="M4" s="19">
        <v>561134995</v>
      </c>
      <c r="N4" s="19">
        <v>528786376</v>
      </c>
      <c r="O4" s="19">
        <v>428277376</v>
      </c>
      <c r="P4" s="19">
        <v>-94662018</v>
      </c>
    </row>
    <row r="5" spans="1:16" x14ac:dyDescent="0.25">
      <c r="A5" s="1" t="s">
        <v>42</v>
      </c>
      <c r="B5" s="19">
        <v>165178840</v>
      </c>
      <c r="C5" s="19">
        <v>127872973</v>
      </c>
      <c r="D5" s="19">
        <v>7179784</v>
      </c>
      <c r="E5" s="19">
        <v>63836258</v>
      </c>
      <c r="F5" s="19">
        <f t="shared" si="0"/>
        <v>37305867</v>
      </c>
      <c r="G5" s="19">
        <v>119681748</v>
      </c>
      <c r="H5" s="19">
        <v>94573483</v>
      </c>
      <c r="I5" s="19">
        <f t="shared" si="1"/>
        <v>25108265</v>
      </c>
      <c r="J5" s="19">
        <v>566024</v>
      </c>
      <c r="K5" s="19">
        <v>45497092</v>
      </c>
      <c r="L5" s="19">
        <v>69863257</v>
      </c>
      <c r="M5" s="19">
        <v>30160854</v>
      </c>
      <c r="N5" s="19">
        <v>39702403</v>
      </c>
      <c r="O5" s="19">
        <v>9134726</v>
      </c>
      <c r="P5" s="19">
        <v>-19219203</v>
      </c>
    </row>
    <row r="6" spans="1:16" x14ac:dyDescent="0.25">
      <c r="A6" s="1" t="s">
        <v>43</v>
      </c>
      <c r="B6" s="20">
        <v>246081000</v>
      </c>
      <c r="C6" s="20">
        <v>90452201</v>
      </c>
      <c r="D6" s="20">
        <v>47175000</v>
      </c>
      <c r="E6" s="20">
        <v>6382321</v>
      </c>
      <c r="F6" s="20">
        <v>125996000</v>
      </c>
      <c r="G6" s="20">
        <v>95834736</v>
      </c>
      <c r="H6" s="20">
        <v>75528051</v>
      </c>
      <c r="I6" s="20">
        <v>20306683</v>
      </c>
      <c r="J6" s="20">
        <v>42573955</v>
      </c>
      <c r="K6" s="20">
        <v>150223000</v>
      </c>
      <c r="L6" s="20">
        <v>437659000</v>
      </c>
      <c r="M6" s="20">
        <v>343368796</v>
      </c>
      <c r="N6" s="20">
        <v>97619000</v>
      </c>
      <c r="O6" s="20">
        <v>34716000</v>
      </c>
      <c r="P6" s="20">
        <v>30426000</v>
      </c>
    </row>
    <row r="7" spans="1:16" x14ac:dyDescent="0.25">
      <c r="A7" s="1" t="s">
        <v>44</v>
      </c>
      <c r="B7" s="20">
        <v>20985098</v>
      </c>
      <c r="C7" s="20">
        <v>5804383</v>
      </c>
      <c r="D7" s="20">
        <v>112763</v>
      </c>
      <c r="E7" s="20">
        <v>2426167</v>
      </c>
      <c r="F7" s="20">
        <v>225331</v>
      </c>
      <c r="G7" s="20">
        <v>15279380</v>
      </c>
      <c r="H7" s="20">
        <v>4311915</v>
      </c>
      <c r="I7" s="20">
        <v>10967465</v>
      </c>
      <c r="J7" s="20">
        <v>6728342</v>
      </c>
      <c r="K7" s="20">
        <v>5705718</v>
      </c>
      <c r="L7" s="20">
        <v>437659</v>
      </c>
      <c r="M7" s="20">
        <v>3097105</v>
      </c>
      <c r="N7" s="20">
        <v>1881000.43</v>
      </c>
      <c r="O7" s="20">
        <v>-98000.92</v>
      </c>
      <c r="P7" s="20">
        <v>-186000.59</v>
      </c>
    </row>
    <row r="8" spans="1:16" x14ac:dyDescent="0.25">
      <c r="A8" s="1" t="s">
        <v>45</v>
      </c>
      <c r="B8" s="20">
        <v>281473754</v>
      </c>
      <c r="C8" s="20">
        <v>89938076</v>
      </c>
      <c r="D8" s="20">
        <v>1628276</v>
      </c>
      <c r="E8" s="20">
        <v>26096584</v>
      </c>
      <c r="F8" s="20">
        <v>191535678</v>
      </c>
      <c r="G8" s="20">
        <v>181951977</v>
      </c>
      <c r="H8" s="20">
        <v>48978050</v>
      </c>
      <c r="I8" s="20">
        <v>132973927</v>
      </c>
      <c r="J8" s="20">
        <v>4978126</v>
      </c>
      <c r="K8" s="20">
        <v>99521777</v>
      </c>
      <c r="L8" s="20">
        <v>88051829</v>
      </c>
      <c r="M8" s="20">
        <v>47226544</v>
      </c>
      <c r="N8" s="20">
        <v>5257554</v>
      </c>
      <c r="O8" s="20">
        <v>18745125</v>
      </c>
      <c r="P8" s="20">
        <v>12325450</v>
      </c>
    </row>
    <row r="9" spans="1:16" x14ac:dyDescent="0.25">
      <c r="A9" s="1" t="s">
        <v>51</v>
      </c>
      <c r="B9" s="19">
        <v>496627634</v>
      </c>
      <c r="C9" s="19">
        <v>107357139</v>
      </c>
      <c r="D9" s="19">
        <v>29067682</v>
      </c>
      <c r="E9" s="19">
        <v>23869652</v>
      </c>
      <c r="F9" s="19">
        <f t="shared" si="0"/>
        <v>389270495</v>
      </c>
      <c r="G9" s="19">
        <v>236144423</v>
      </c>
      <c r="H9" s="19">
        <v>78533408</v>
      </c>
      <c r="I9" s="19">
        <f t="shared" si="1"/>
        <v>157611015</v>
      </c>
      <c r="J9" s="19">
        <v>3040003</v>
      </c>
      <c r="K9" s="19">
        <v>260483211</v>
      </c>
      <c r="L9" s="19">
        <v>363618125</v>
      </c>
      <c r="M9" s="19">
        <v>228732070</v>
      </c>
      <c r="N9" s="19">
        <f>L9-M9</f>
        <v>134886055</v>
      </c>
      <c r="O9" s="19">
        <v>25990148</v>
      </c>
      <c r="P9" s="19">
        <v>24732863</v>
      </c>
    </row>
    <row r="10" spans="1:16" x14ac:dyDescent="0.25">
      <c r="A10" s="1" t="s">
        <v>52</v>
      </c>
      <c r="B10" s="19">
        <v>31412366</v>
      </c>
      <c r="C10" s="19">
        <v>16488797</v>
      </c>
      <c r="D10" s="19">
        <v>3008187</v>
      </c>
      <c r="E10" s="19">
        <v>2206608</v>
      </c>
      <c r="F10" s="19">
        <f t="shared" si="0"/>
        <v>14923569</v>
      </c>
      <c r="G10" s="19">
        <v>8429004</v>
      </c>
      <c r="H10" s="19">
        <v>6263900</v>
      </c>
      <c r="I10" s="19">
        <f t="shared" si="1"/>
        <v>2165104</v>
      </c>
      <c r="J10" s="19">
        <v>1492652</v>
      </c>
      <c r="K10" s="19">
        <v>22983362</v>
      </c>
      <c r="L10" s="19">
        <v>11630439</v>
      </c>
      <c r="M10" s="19">
        <v>7098653</v>
      </c>
      <c r="N10" s="19">
        <f>L10-M10</f>
        <v>4531786</v>
      </c>
      <c r="O10" s="19">
        <v>1366070</v>
      </c>
      <c r="P10" s="19">
        <v>934070</v>
      </c>
    </row>
    <row r="11" spans="1:16" x14ac:dyDescent="0.25">
      <c r="A11" s="1" t="s">
        <v>53</v>
      </c>
      <c r="B11" s="19">
        <v>24405474</v>
      </c>
      <c r="C11" s="19">
        <v>6198469</v>
      </c>
      <c r="D11" s="19">
        <v>2437824</v>
      </c>
      <c r="E11" s="19">
        <v>116768</v>
      </c>
      <c r="F11" s="19">
        <f t="shared" si="0"/>
        <v>18207005</v>
      </c>
      <c r="G11" s="19">
        <v>10498383</v>
      </c>
      <c r="H11" s="19">
        <v>2630171</v>
      </c>
      <c r="I11" s="19">
        <f t="shared" si="1"/>
        <v>7868212</v>
      </c>
      <c r="J11" s="19">
        <v>575626</v>
      </c>
      <c r="K11" s="19">
        <v>13907091</v>
      </c>
      <c r="L11" s="19">
        <v>16356291</v>
      </c>
      <c r="M11" s="19">
        <v>9577471</v>
      </c>
      <c r="N11" s="19">
        <f>L11-M11</f>
        <v>6778820</v>
      </c>
      <c r="O11" s="19">
        <v>2035961</v>
      </c>
      <c r="P11" s="19">
        <v>1292500</v>
      </c>
    </row>
    <row r="13" spans="1:16" x14ac:dyDescent="0.25">
      <c r="D13" s="23"/>
    </row>
    <row r="14" spans="1:16" x14ac:dyDescent="0.25">
      <c r="B14" s="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workbookViewId="0">
      <selection activeCell="P8" sqref="P8"/>
    </sheetView>
  </sheetViews>
  <sheetFormatPr baseColWidth="10"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owerPoint.Slide.12" shapeId="7169" r:id="rId4">
          <objectPr defaultSize="0" autoPict="0" r:id="rId5">
            <anchor moveWithCells="1">
              <from>
                <xdr:col>3</xdr:col>
                <xdr:colOff>9525</xdr:colOff>
                <xdr:row>1</xdr:row>
                <xdr:rowOff>123825</xdr:rowOff>
              </from>
              <to>
                <xdr:col>15</xdr:col>
                <xdr:colOff>428625</xdr:colOff>
                <xdr:row>27</xdr:row>
                <xdr:rowOff>95250</xdr:rowOff>
              </to>
            </anchor>
          </objectPr>
        </oleObject>
      </mc:Choice>
      <mc:Fallback>
        <oleObject progId="PowerPoint.Slide.12" shapeId="7169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37"/>
  <sheetViews>
    <sheetView showGridLines="0" topLeftCell="A24" workbookViewId="0">
      <selection sqref="A1:A2"/>
    </sheetView>
  </sheetViews>
  <sheetFormatPr baseColWidth="10" defaultRowHeight="15" x14ac:dyDescent="0.25"/>
  <cols>
    <col min="1" max="1" width="32.42578125" style="2" bestFit="1" customWidth="1"/>
    <col min="2" max="3" width="16.85546875" style="28" customWidth="1"/>
    <col min="4" max="4" width="13" style="28" bestFit="1" customWidth="1"/>
    <col min="5" max="5" width="17.5703125" style="28" bestFit="1" customWidth="1"/>
    <col min="6" max="6" width="17" style="2" bestFit="1" customWidth="1"/>
    <col min="7" max="7" width="12.7109375" style="2" bestFit="1" customWidth="1"/>
    <col min="8" max="8" width="17.5703125" style="28" customWidth="1"/>
    <col min="9" max="9" width="17" style="28" bestFit="1" customWidth="1"/>
    <col min="10" max="10" width="15.85546875" style="28" bestFit="1" customWidth="1"/>
    <col min="11" max="11" width="23.5703125" style="28" bestFit="1" customWidth="1"/>
    <col min="12" max="12" width="21" style="28" bestFit="1" customWidth="1"/>
    <col min="13" max="13" width="16.7109375" style="28" bestFit="1" customWidth="1"/>
    <col min="14" max="14" width="18" style="28" bestFit="1" customWidth="1"/>
    <col min="15" max="15" width="12.7109375" style="28" bestFit="1" customWidth="1"/>
    <col min="16" max="16" width="17.5703125" style="28" customWidth="1"/>
    <col min="17" max="17" width="15.5703125" style="28" customWidth="1"/>
  </cols>
  <sheetData>
    <row r="1" spans="1:17" ht="20.25" thickBot="1" x14ac:dyDescent="0.3">
      <c r="A1" s="36" t="s">
        <v>16</v>
      </c>
      <c r="B1" s="32" t="s">
        <v>17</v>
      </c>
      <c r="C1" s="32"/>
      <c r="D1" s="32" t="s">
        <v>18</v>
      </c>
      <c r="E1" s="32"/>
      <c r="F1" s="33" t="s">
        <v>19</v>
      </c>
      <c r="G1" s="33"/>
      <c r="H1" s="32" t="s">
        <v>20</v>
      </c>
      <c r="I1" s="32"/>
      <c r="J1" s="32" t="s">
        <v>28</v>
      </c>
      <c r="K1" s="32"/>
      <c r="L1" s="32" t="s">
        <v>29</v>
      </c>
      <c r="M1" s="32"/>
      <c r="N1" s="32" t="s">
        <v>30</v>
      </c>
      <c r="O1" s="32"/>
      <c r="P1" s="32" t="s">
        <v>31</v>
      </c>
      <c r="Q1" s="32"/>
    </row>
    <row r="2" spans="1:17" ht="23.25" customHeight="1" thickTop="1" thickBot="1" x14ac:dyDescent="0.3">
      <c r="A2" s="36"/>
      <c r="B2" s="26" t="s">
        <v>21</v>
      </c>
      <c r="C2" s="26" t="s">
        <v>22</v>
      </c>
      <c r="D2" s="26" t="s">
        <v>23</v>
      </c>
      <c r="E2" s="26" t="s">
        <v>24</v>
      </c>
      <c r="F2" s="25" t="s">
        <v>25</v>
      </c>
      <c r="G2" s="25" t="s">
        <v>24</v>
      </c>
      <c r="H2" s="26" t="s">
        <v>26</v>
      </c>
      <c r="I2" s="26" t="s">
        <v>27</v>
      </c>
      <c r="J2" s="26" t="s">
        <v>21</v>
      </c>
      <c r="K2" s="26" t="s">
        <v>22</v>
      </c>
      <c r="L2" s="26" t="s">
        <v>23</v>
      </c>
      <c r="M2" s="26" t="s">
        <v>24</v>
      </c>
      <c r="N2" s="26" t="s">
        <v>25</v>
      </c>
      <c r="O2" s="26" t="s">
        <v>24</v>
      </c>
      <c r="P2" s="26" t="s">
        <v>26</v>
      </c>
      <c r="Q2" s="26" t="s">
        <v>27</v>
      </c>
    </row>
    <row r="3" spans="1:17" ht="15.75" thickTop="1" x14ac:dyDescent="0.25">
      <c r="A3" s="22" t="str">
        <f>'BASE DATOS'!A2</f>
        <v>ALSEA</v>
      </c>
      <c r="B3" s="27">
        <f>IF(ISBLANK('BASE DATOS'!H2),"",('BASE DATOS'!C2-'BASE DATOS'!D2)/'BASE DATOS'!H2)</f>
        <v>-0.15751132805897833</v>
      </c>
      <c r="C3" s="27">
        <f>IF(ISBLANK('BASE DATOS'!H2),"",'BASE DATOS'!C2/'BASE DATOS'!H2)</f>
        <v>4.5271994140797911E-2</v>
      </c>
      <c r="D3" s="27">
        <f>IF(ISBLANK('BASE DATOS'!B2),"",'BASE DATOS'!P2/'BASE DATOS'!B2)</f>
        <v>1.561246153846154</v>
      </c>
      <c r="E3" s="27">
        <f>IF(ISBLANK('BASE DATOS'!K2),"",'BASE DATOS'!P2/'BASE DATOS'!K2)</f>
        <v>6.1359552976964091E-2</v>
      </c>
      <c r="F3" s="21">
        <f>IF(ISBLANK('BASE DATOS'!B2),"",'BASE DATOS'!G2/'BASE DATOS'!B2)</f>
        <v>46.918153846153849</v>
      </c>
      <c r="G3" s="21">
        <f>IF(ISBLANK('BASE DATOS'!K2),"",'BASE DATOS'!G2/'BASE DATOS'!K2)</f>
        <v>1.8439609535064481</v>
      </c>
      <c r="H3" s="27">
        <f>IF(ISBLANK('BASE DATOS'!D2),"",'BASE DATOS'!M2/'BASE DATOS'!D2)</f>
        <v>9.3954778855456063</v>
      </c>
      <c r="I3" s="27">
        <f>IF(ISBLANK('BASE DATOS'!B2),"",'BASE DATOS'!L2/'BASE DATOS'!B2)</f>
        <v>82.067469230769234</v>
      </c>
      <c r="J3" s="27">
        <f t="shared" ref="J3:J12" si="0">IF($B$13=0,"",(B3*10)/$B$13)</f>
        <v>-0.73189210861276632</v>
      </c>
      <c r="K3" s="27">
        <f t="shared" ref="K3:K12" si="1">IF($C$13=0,"",(C3*10)/$C$13)</f>
        <v>0.17198297977623475</v>
      </c>
      <c r="L3" s="27">
        <f t="shared" ref="L3:L12" si="2">IF($D$13=0,"",(D3*10)/$D$13)</f>
        <v>10</v>
      </c>
      <c r="M3" s="27">
        <f t="shared" ref="M3:M12" si="3">IF($E$13=0,"",(E3*10)/$E$13)</f>
        <v>0.43325441764524181</v>
      </c>
      <c r="N3" s="27">
        <f t="shared" ref="N3:N12" si="4">IF($F$13=0,"",(F3*10)/$F$13)</f>
        <v>10</v>
      </c>
      <c r="O3" s="27">
        <f t="shared" ref="O3:O12" si="5">IF($G$13=0,"",(G3*10)/$G$13)</f>
        <v>4.2829147797024563</v>
      </c>
      <c r="P3" s="27">
        <f t="shared" ref="P3:P12" si="6">IF($H$13=0,"",(H3*10)/$H$13)</f>
        <v>1.3795772645866571</v>
      </c>
      <c r="Q3" s="27">
        <f t="shared" ref="Q3:Q12" si="7">IF($I$13=0,"",(I3*10)/$I$13)</f>
        <v>10</v>
      </c>
    </row>
    <row r="4" spans="1:17" x14ac:dyDescent="0.25">
      <c r="A4" s="22" t="str">
        <f>'BASE DATOS'!A3</f>
        <v>VOLARIS</v>
      </c>
      <c r="B4" s="27">
        <f>IF(ISBLANK('BASE DATOS'!H3),"",('BASE DATOS'!C3-'BASE DATOS'!D3)/'BASE DATOS'!H3)</f>
        <v>0.46155999482124549</v>
      </c>
      <c r="C4" s="27">
        <f>IF(ISBLANK('BASE DATOS'!H3),"",'BASE DATOS'!C3/'BASE DATOS'!H3)</f>
        <v>0.4876602177176389</v>
      </c>
      <c r="D4" s="27">
        <f>IF(ISBLANK('BASE DATOS'!B3),"",'BASE DATOS'!P3/'BASE DATOS'!B3)</f>
        <v>3.5663217524383839E-2</v>
      </c>
      <c r="E4" s="27">
        <f>IF(ISBLANK('BASE DATOS'!K3),"",'BASE DATOS'!P3/'BASE DATOS'!K3)</f>
        <v>0.1892072032768608</v>
      </c>
      <c r="F4" s="21">
        <f>IF(ISBLANK('BASE DATOS'!B3),"",'BASE DATOS'!G3/'BASE DATOS'!B3)</f>
        <v>0.81151236894401424</v>
      </c>
      <c r="G4" s="21">
        <f>IF(ISBLANK('BASE DATOS'!K3),"",'BASE DATOS'!G3/'BASE DATOS'!K3)</f>
        <v>4.3053879153639203</v>
      </c>
      <c r="H4" s="27">
        <f>IF(ISBLANK('BASE DATOS'!D3),"",'BASE DATOS'!M3/'BASE DATOS'!D3)</f>
        <v>68.104035393484381</v>
      </c>
      <c r="I4" s="27">
        <f>IF(ISBLANK('BASE DATOS'!B3),"",'BASE DATOS'!L3/'BASE DATOS'!B3)</f>
        <v>2.0496882066744329</v>
      </c>
      <c r="J4" s="27">
        <f>IF($B$13=0,"",(B4*10)/$B$13)</f>
        <v>2.144684588873055</v>
      </c>
      <c r="K4" s="27">
        <f t="shared" si="1"/>
        <v>1.8525637969595468</v>
      </c>
      <c r="L4" s="27">
        <f t="shared" si="2"/>
        <v>0.22842789675751612</v>
      </c>
      <c r="M4" s="27">
        <f t="shared" si="3"/>
        <v>1.3359754543970785</v>
      </c>
      <c r="N4" s="27">
        <f t="shared" si="4"/>
        <v>0.1729634059355766</v>
      </c>
      <c r="O4" s="27">
        <f t="shared" si="5"/>
        <v>10</v>
      </c>
      <c r="P4" s="27">
        <f t="shared" si="6"/>
        <v>10</v>
      </c>
      <c r="Q4" s="27">
        <f t="shared" si="7"/>
        <v>0.24975647791828715</v>
      </c>
    </row>
    <row r="5" spans="1:17" x14ac:dyDescent="0.25">
      <c r="A5" s="22" t="str">
        <f>'BASE DATOS'!A4</f>
        <v>PEMEX</v>
      </c>
      <c r="B5" s="27">
        <f>IF(ISBLANK('BASE DATOS'!H4),"",('BASE DATOS'!C4-'BASE DATOS'!D4)/'BASE DATOS'!H4)</f>
        <v>1.2874263472541647</v>
      </c>
      <c r="C5" s="27">
        <f>IF(ISBLANK('BASE DATOS'!H4),"",'BASE DATOS'!C4/'BASE DATOS'!H4)</f>
        <v>1.4393156313313817</v>
      </c>
      <c r="D5" s="27">
        <f>IF(ISBLANK('BASE DATOS'!B4),"",'BASE DATOS'!P4/'BASE DATOS'!B4)</f>
        <v>-7.106559748659988E-2</v>
      </c>
      <c r="E5" s="27">
        <f>IF(ISBLANK('BASE DATOS'!K4),"",'BASE DATOS'!P4/'BASE DATOS'!K4)</f>
        <v>1.4162476013621779</v>
      </c>
      <c r="F5" s="21">
        <f>IF(ISBLANK('BASE DATOS'!B4),"",'BASE DATOS'!G4/'BASE DATOS'!B4)</f>
        <v>1.0501787945965433</v>
      </c>
      <c r="G5" s="21">
        <f>IF(ISBLANK('BASE DATOS'!K4),"",'BASE DATOS'!G4/'BASE DATOS'!K4)</f>
        <v>-20.928736990204371</v>
      </c>
      <c r="H5" s="27">
        <f>IF(ISBLANK('BASE DATOS'!D4),"",'BASE DATOS'!M4/'BASE DATOS'!D4)</f>
        <v>15.20564123644964</v>
      </c>
      <c r="I5" s="27">
        <f>IF(ISBLANK('BASE DATOS'!B4),"",'BASE DATOS'!L4/'BASE DATOS'!B4)</f>
        <v>0.81823641875990005</v>
      </c>
      <c r="J5" s="27">
        <f t="shared" si="0"/>
        <v>5.9821550334631466</v>
      </c>
      <c r="K5" s="27">
        <f t="shared" si="1"/>
        <v>5.4677907570192303</v>
      </c>
      <c r="L5" s="27">
        <f t="shared" si="2"/>
        <v>-0.45518509244380645</v>
      </c>
      <c r="M5" s="27">
        <f t="shared" si="3"/>
        <v>10</v>
      </c>
      <c r="N5" s="27">
        <f t="shared" si="4"/>
        <v>0.22383207959122042</v>
      </c>
      <c r="O5" s="27">
        <f t="shared" si="5"/>
        <v>-48.610572151976072</v>
      </c>
      <c r="P5" s="27">
        <f t="shared" si="6"/>
        <v>2.2327078195287657</v>
      </c>
      <c r="Q5" s="27">
        <f t="shared" si="7"/>
        <v>9.9702894024800995E-2</v>
      </c>
    </row>
    <row r="6" spans="1:17" x14ac:dyDescent="0.25">
      <c r="A6" s="22" t="str">
        <f>'BASE DATOS'!A5</f>
        <v>ELEKTRA</v>
      </c>
      <c r="B6" s="27">
        <f>IF(ISBLANK('BASE DATOS'!H5),"",('BASE DATOS'!C5-'BASE DATOS'!D5)/'BASE DATOS'!H5)</f>
        <v>1.276184245006605</v>
      </c>
      <c r="C6" s="27">
        <f>IF(ISBLANK('BASE DATOS'!H5),"",'BASE DATOS'!C5/'BASE DATOS'!H5)</f>
        <v>1.3521017619706361</v>
      </c>
      <c r="D6" s="27">
        <f>IF(ISBLANK('BASE DATOS'!B5),"",'BASE DATOS'!P5/'BASE DATOS'!B5)</f>
        <v>-0.11635390465267827</v>
      </c>
      <c r="E6" s="27">
        <f>IF(ISBLANK('BASE DATOS'!K5),"",'BASE DATOS'!P5/'BASE DATOS'!K5)</f>
        <v>-0.42242706412972503</v>
      </c>
      <c r="F6" s="21">
        <f>IF(ISBLANK('BASE DATOS'!B5),"",'BASE DATOS'!G5/'BASE DATOS'!B5)</f>
        <v>0.7245585935825678</v>
      </c>
      <c r="G6" s="21">
        <f>IF(ISBLANK('BASE DATOS'!K5),"",'BASE DATOS'!G5/'BASE DATOS'!K5)</f>
        <v>2.6305362109736596</v>
      </c>
      <c r="H6" s="27">
        <f>IF(ISBLANK('BASE DATOS'!D5),"",'BASE DATOS'!M5/'BASE DATOS'!D5)</f>
        <v>4.2008024196828204</v>
      </c>
      <c r="I6" s="27">
        <f>IF(ISBLANK('BASE DATOS'!B5),"",'BASE DATOS'!L5/'BASE DATOS'!B5)</f>
        <v>0.42295524656790179</v>
      </c>
      <c r="J6" s="27">
        <f t="shared" si="0"/>
        <v>5.9299174831827886</v>
      </c>
      <c r="K6" s="27">
        <f t="shared" si="1"/>
        <v>5.1364755274795781</v>
      </c>
      <c r="L6" s="27">
        <f t="shared" si="2"/>
        <v>-0.74526303469852362</v>
      </c>
      <c r="M6" s="27">
        <f t="shared" si="3"/>
        <v>-2.9827204206624991</v>
      </c>
      <c r="N6" s="27">
        <f t="shared" si="4"/>
        <v>0.15443032902752718</v>
      </c>
      <c r="O6" s="27">
        <f t="shared" si="5"/>
        <v>6.1098703826117582</v>
      </c>
      <c r="P6" s="27">
        <f t="shared" si="6"/>
        <v>0.6168213668120931</v>
      </c>
      <c r="Q6" s="27">
        <f t="shared" si="7"/>
        <v>5.153750329239163E-2</v>
      </c>
    </row>
    <row r="7" spans="1:17" x14ac:dyDescent="0.25">
      <c r="A7" s="22" t="str">
        <f>'BASE DATOS'!A6</f>
        <v>WALMEX</v>
      </c>
      <c r="B7" s="27">
        <f>IF(ISBLANK('BASE DATOS'!H6),"",('BASE DATOS'!C6-'BASE DATOS'!D6)/'BASE DATOS'!H6)</f>
        <v>0.57299507172507336</v>
      </c>
      <c r="C7" s="27">
        <f>IF(ISBLANK('BASE DATOS'!H6),"",'BASE DATOS'!C6/'BASE DATOS'!H6)</f>
        <v>1.1975974462786019</v>
      </c>
      <c r="D7" s="27">
        <f>IF(ISBLANK('BASE DATOS'!B6),"",'BASE DATOS'!P6/'BASE DATOS'!B6)</f>
        <v>0.1236422153681105</v>
      </c>
      <c r="E7" s="27">
        <f>IF(ISBLANK('BASE DATOS'!K6),"",'BASE DATOS'!P6/'BASE DATOS'!K6)</f>
        <v>0.20253889218029197</v>
      </c>
      <c r="F7" s="21">
        <f>IF(ISBLANK('BASE DATOS'!B6),"",'BASE DATOS'!G6/'BASE DATOS'!B6)</f>
        <v>0.38944386604410741</v>
      </c>
      <c r="G7" s="21">
        <f>IF(ISBLANK('BASE DATOS'!K6),"",'BASE DATOS'!G6/'BASE DATOS'!K6)</f>
        <v>0.63794982126571831</v>
      </c>
      <c r="H7" s="27">
        <f>IF(ISBLANK('BASE DATOS'!D6),"",'BASE DATOS'!M6/'BASE DATOS'!D6)</f>
        <v>7.2786178272390041</v>
      </c>
      <c r="I7" s="27">
        <f>IF(ISBLANK('BASE DATOS'!B6),"",'BASE DATOS'!L6/'BASE DATOS'!B6)</f>
        <v>1.7785160170838057</v>
      </c>
      <c r="J7" s="27">
        <f t="shared" si="0"/>
        <v>2.6624787971602824</v>
      </c>
      <c r="K7" s="27">
        <f t="shared" si="1"/>
        <v>4.5495318086240824</v>
      </c>
      <c r="L7" s="27">
        <f t="shared" si="2"/>
        <v>0.79194568430811507</v>
      </c>
      <c r="M7" s="27">
        <f t="shared" si="3"/>
        <v>1.4301093395355844</v>
      </c>
      <c r="N7" s="27">
        <f t="shared" si="4"/>
        <v>8.3004942462379605E-2</v>
      </c>
      <c r="O7" s="27">
        <f t="shared" si="5"/>
        <v>1.481747600463998</v>
      </c>
      <c r="P7" s="27">
        <f t="shared" si="6"/>
        <v>1.0687498597088068</v>
      </c>
      <c r="Q7" s="27">
        <f t="shared" si="7"/>
        <v>0.21671388599576721</v>
      </c>
    </row>
    <row r="8" spans="1:17" x14ac:dyDescent="0.25">
      <c r="A8" s="22" t="str">
        <f>'BASE DATOS'!A7</f>
        <v>AXTEL</v>
      </c>
      <c r="B8" s="27">
        <f>IF(ISBLANK('BASE DATOS'!H7),"",('BASE DATOS'!C7-'BASE DATOS'!D7)/'BASE DATOS'!H7)</f>
        <v>1.3199749995071794</v>
      </c>
      <c r="C8" s="27">
        <f>IF(ISBLANK('BASE DATOS'!H7),"",'BASE DATOS'!C7/'BASE DATOS'!H7)</f>
        <v>1.3461264890425715</v>
      </c>
      <c r="D8" s="27">
        <f>IF(ISBLANK('BASE DATOS'!B7),"",'BASE DATOS'!P7/'BASE DATOS'!B7)</f>
        <v>-8.863460632873861E-3</v>
      </c>
      <c r="E8" s="27">
        <f>IF(ISBLANK('BASE DATOS'!K7),"",'BASE DATOS'!P7/'BASE DATOS'!K7)</f>
        <v>-3.2598980531459841E-2</v>
      </c>
      <c r="F8" s="21">
        <f>IF(ISBLANK('BASE DATOS'!B7),"",'BASE DATOS'!G7/'BASE DATOS'!B7)</f>
        <v>0.7281062018390384</v>
      </c>
      <c r="G8" s="21">
        <f>IF(ISBLANK('BASE DATOS'!K7),"",'BASE DATOS'!G7/'BASE DATOS'!K7)</f>
        <v>2.6779066192896317</v>
      </c>
      <c r="H8" s="27">
        <f>IF(ISBLANK('BASE DATOS'!D7),"",'BASE DATOS'!M7/'BASE DATOS'!D7)</f>
        <v>27.465613720812676</v>
      </c>
      <c r="I8" s="27">
        <f>IF(ISBLANK('BASE DATOS'!B7),"",'BASE DATOS'!L7/'BASE DATOS'!B7)</f>
        <v>2.0855704366975078E-2</v>
      </c>
      <c r="J8" s="27">
        <f t="shared" si="0"/>
        <v>6.1333955951644779</v>
      </c>
      <c r="K8" s="27">
        <f t="shared" si="1"/>
        <v>5.1137761685790446</v>
      </c>
      <c r="L8" s="27">
        <f t="shared" si="2"/>
        <v>-5.6771705160256689E-2</v>
      </c>
      <c r="M8" s="27">
        <f t="shared" si="3"/>
        <v>-0.23017854010912661</v>
      </c>
      <c r="N8" s="27">
        <f t="shared" si="4"/>
        <v>0.15518645602009881</v>
      </c>
      <c r="O8" s="27">
        <f t="shared" si="5"/>
        <v>6.2198962600638898</v>
      </c>
      <c r="P8" s="27">
        <f t="shared" si="6"/>
        <v>4.0328907915844816</v>
      </c>
      <c r="Q8" s="27">
        <f t="shared" si="7"/>
        <v>2.5412876213265429E-3</v>
      </c>
    </row>
    <row r="9" spans="1:17" x14ac:dyDescent="0.25">
      <c r="A9" s="22" t="str">
        <f>'BASE DATOS'!A8</f>
        <v>TELEVISA</v>
      </c>
      <c r="B9" s="27">
        <f>IF(ISBLANK('BASE DATOS'!H8),"",('BASE DATOS'!C8-'BASE DATOS'!D8)/'BASE DATOS'!H8)</f>
        <v>1.803048508464506</v>
      </c>
      <c r="C9" s="27">
        <f>IF(ISBLANK('BASE DATOS'!H8),"",'BASE DATOS'!C8/'BASE DATOS'!H8)</f>
        <v>1.8362935233232029</v>
      </c>
      <c r="D9" s="27">
        <f>IF(ISBLANK('BASE DATOS'!B8),"",'BASE DATOS'!P8/'BASE DATOS'!B8)</f>
        <v>4.3788985029133483E-2</v>
      </c>
      <c r="E9" s="27">
        <f>IF(ISBLANK('BASE DATOS'!K8),"",'BASE DATOS'!P8/'BASE DATOS'!K8)</f>
        <v>0.12384676370881119</v>
      </c>
      <c r="F9" s="21">
        <f>IF(ISBLANK('BASE DATOS'!B8),"",'BASE DATOS'!G8/'BASE DATOS'!B8)</f>
        <v>0.64642608560938863</v>
      </c>
      <c r="G9" s="21">
        <f>IF(ISBLANK('BASE DATOS'!K8),"",'BASE DATOS'!G8/'BASE DATOS'!K8)</f>
        <v>1.8282629438981983</v>
      </c>
      <c r="H9" s="27">
        <f>IF(ISBLANK('BASE DATOS'!D8),"",'BASE DATOS'!M8/'BASE DATOS'!D8)</f>
        <v>29.004016518084157</v>
      </c>
      <c r="I9" s="27">
        <f>IF(ISBLANK('BASE DATOS'!B8),"",'BASE DATOS'!L8/'BASE DATOS'!B8)</f>
        <v>0.31282429622194902</v>
      </c>
      <c r="J9" s="27">
        <f t="shared" si="0"/>
        <v>8.3780448749506284</v>
      </c>
      <c r="K9" s="27">
        <f t="shared" si="1"/>
        <v>6.9758630667502368</v>
      </c>
      <c r="L9" s="27">
        <f t="shared" si="2"/>
        <v>0.2804745742448021</v>
      </c>
      <c r="M9" s="27">
        <f t="shared" si="3"/>
        <v>0.87447112771589275</v>
      </c>
      <c r="N9" s="27">
        <f t="shared" si="4"/>
        <v>0.13777739161030095</v>
      </c>
      <c r="O9" s="27">
        <f t="shared" si="5"/>
        <v>4.2464534667688856</v>
      </c>
      <c r="P9" s="27">
        <f t="shared" si="6"/>
        <v>4.2587809005013844</v>
      </c>
      <c r="Q9" s="27">
        <f t="shared" si="7"/>
        <v>3.8117941146973131E-2</v>
      </c>
    </row>
    <row r="10" spans="1:17" x14ac:dyDescent="0.25">
      <c r="A10" s="22" t="str">
        <f>'BASE DATOS'!A9</f>
        <v>FEMSA</v>
      </c>
      <c r="B10" s="27">
        <f>IF(ISBLANK('BASE DATOS'!H9),"",('BASE DATOS'!C9-'BASE DATOS'!D9)/'BASE DATOS'!H9)</f>
        <v>0.99689366594150608</v>
      </c>
      <c r="C10" s="27">
        <f>IF(ISBLANK('BASE DATOS'!H9),"",'BASE DATOS'!C9/'BASE DATOS'!H9)</f>
        <v>1.3670250882274204</v>
      </c>
      <c r="D10" s="27">
        <f>IF(ISBLANK('BASE DATOS'!B9),"",'BASE DATOS'!P9/'BASE DATOS'!B9)</f>
        <v>4.9801624611166925E-2</v>
      </c>
      <c r="E10" s="27">
        <f>IF(ISBLANK('BASE DATOS'!K9),"",'BASE DATOS'!P9/'BASE DATOS'!K9)</f>
        <v>9.4949931341256386E-2</v>
      </c>
      <c r="F10" s="21">
        <f>IF(ISBLANK('BASE DATOS'!B9),"",'BASE DATOS'!G9/'BASE DATOS'!B9)</f>
        <v>0.47549593867344081</v>
      </c>
      <c r="G10" s="21">
        <f>IF(ISBLANK('BASE DATOS'!K9),"",'BASE DATOS'!G9/'BASE DATOS'!K9)</f>
        <v>0.90656293007690236</v>
      </c>
      <c r="H10" s="27">
        <f>IF(ISBLANK('BASE DATOS'!D9),"",'BASE DATOS'!M9/'BASE DATOS'!D9)</f>
        <v>7.8689477200142752</v>
      </c>
      <c r="I10" s="27">
        <f>IF(ISBLANK('BASE DATOS'!B9),"",'BASE DATOS'!L9/'BASE DATOS'!B9)</f>
        <v>0.73217457126036611</v>
      </c>
      <c r="J10" s="27">
        <f t="shared" si="0"/>
        <v>4.6321659287606414</v>
      </c>
      <c r="K10" s="27">
        <f t="shared" si="1"/>
        <v>5.193167488293863</v>
      </c>
      <c r="L10" s="27">
        <f t="shared" si="2"/>
        <v>0.31898637180613615</v>
      </c>
      <c r="M10" s="27">
        <f t="shared" si="3"/>
        <v>0.67043313083059397</v>
      </c>
      <c r="N10" s="27">
        <f t="shared" si="4"/>
        <v>0.10134583305059433</v>
      </c>
      <c r="O10" s="27">
        <f t="shared" si="5"/>
        <v>2.1056475000587107</v>
      </c>
      <c r="P10" s="27">
        <f t="shared" si="6"/>
        <v>1.1554304637823427</v>
      </c>
      <c r="Q10" s="27">
        <f t="shared" si="7"/>
        <v>8.921617519379467E-2</v>
      </c>
    </row>
    <row r="11" spans="1:17" x14ac:dyDescent="0.25">
      <c r="A11" s="22" t="str">
        <f>'BASE DATOS'!A10</f>
        <v>LALA</v>
      </c>
      <c r="B11" s="27">
        <f>IF(ISBLANK('BASE DATOS'!H10),"",('BASE DATOS'!C10-'BASE DATOS'!D10)/'BASE DATOS'!H10)</f>
        <v>2.1521113044588835</v>
      </c>
      <c r="C11" s="27">
        <f>IF(ISBLANK('BASE DATOS'!H10),"",'BASE DATOS'!C10/'BASE DATOS'!H10)</f>
        <v>2.6323531665575759</v>
      </c>
      <c r="D11" s="27">
        <f>IF(ISBLANK('BASE DATOS'!B10),"",'BASE DATOS'!P10/'BASE DATOS'!B10)</f>
        <v>2.9735741650278747E-2</v>
      </c>
      <c r="E11" s="27">
        <f>IF(ISBLANK('BASE DATOS'!K10),"",'BASE DATOS'!P10/'BASE DATOS'!K10)</f>
        <v>4.0641138576679947E-2</v>
      </c>
      <c r="F11" s="21">
        <f>IF(ISBLANK('BASE DATOS'!B10),"",'BASE DATOS'!G10/'BASE DATOS'!B10)</f>
        <v>0.26833394211693573</v>
      </c>
      <c r="G11" s="21">
        <f>IF(ISBLANK('BASE DATOS'!K10),"",'BASE DATOS'!G10/'BASE DATOS'!K10)</f>
        <v>0.36674373401071608</v>
      </c>
      <c r="H11" s="27">
        <f>IF(ISBLANK('BASE DATOS'!D10),"",'BASE DATOS'!M10/'BASE DATOS'!D10)</f>
        <v>2.3597778329605172</v>
      </c>
      <c r="I11" s="27">
        <f>IF(ISBLANK('BASE DATOS'!B10),"",'BASE DATOS'!L10/'BASE DATOS'!B10)</f>
        <v>0.37025033389716649</v>
      </c>
      <c r="J11" s="27">
        <f t="shared" si="0"/>
        <v>10</v>
      </c>
      <c r="K11" s="27">
        <f t="shared" si="1"/>
        <v>10</v>
      </c>
      <c r="L11" s="27">
        <f t="shared" si="2"/>
        <v>0.19046158465802646</v>
      </c>
      <c r="M11" s="27">
        <f t="shared" si="3"/>
        <v>0.28696351215416294</v>
      </c>
      <c r="N11" s="27">
        <f t="shared" si="4"/>
        <v>5.7191922554500216E-2</v>
      </c>
      <c r="O11" s="27">
        <f t="shared" si="5"/>
        <v>0.85182506482628162</v>
      </c>
      <c r="P11" s="27">
        <f t="shared" si="6"/>
        <v>0.34649603644283916</v>
      </c>
      <c r="Q11" s="27">
        <f t="shared" si="7"/>
        <v>4.5115359029293665E-2</v>
      </c>
    </row>
    <row r="12" spans="1:17" x14ac:dyDescent="0.25">
      <c r="A12" s="22" t="str">
        <f>'BASE DATOS'!A11</f>
        <v>HERDEZ</v>
      </c>
      <c r="B12" s="27">
        <f>IF(ISBLANK('BASE DATOS'!H11),"",('BASE DATOS'!C11-'BASE DATOS'!D11)/'BASE DATOS'!H11)</f>
        <v>1.4298100769873898</v>
      </c>
      <c r="C12" s="27">
        <f>IF(ISBLANK('BASE DATOS'!H11),"",'BASE DATOS'!C11/'BASE DATOS'!H11)</f>
        <v>2.356679090446971</v>
      </c>
      <c r="D12" s="27">
        <f>IF(ISBLANK('BASE DATOS'!B11),"",'BASE DATOS'!P11/'BASE DATOS'!B11)</f>
        <v>5.2959430331080644E-2</v>
      </c>
      <c r="E12" s="27">
        <f>IF(ISBLANK('BASE DATOS'!K11),"",'BASE DATOS'!P11/'BASE DATOS'!K11)</f>
        <v>9.2938199656563691E-2</v>
      </c>
      <c r="F12" s="21">
        <f>IF(ISBLANK('BASE DATOS'!B11),"",'BASE DATOS'!G11/'BASE DATOS'!B11)</f>
        <v>0.43016509329013647</v>
      </c>
      <c r="G12" s="21">
        <f>IF(ISBLANK('BASE DATOS'!K11),"",'BASE DATOS'!G11/'BASE DATOS'!K11)</f>
        <v>0.75489424783371306</v>
      </c>
      <c r="H12" s="27">
        <f>IF(ISBLANK('BASE DATOS'!D11),"",'BASE DATOS'!M11/'BASE DATOS'!D11)</f>
        <v>3.92869665734688</v>
      </c>
      <c r="I12" s="27">
        <f>IF(ISBLANK('BASE DATOS'!B11),"",'BASE DATOS'!L11/'BASE DATOS'!B11)</f>
        <v>0.67018944192602037</v>
      </c>
      <c r="J12" s="27">
        <f t="shared" si="0"/>
        <v>6.6437552464178626</v>
      </c>
      <c r="K12" s="27">
        <f t="shared" si="1"/>
        <v>8.9527466161726537</v>
      </c>
      <c r="L12" s="27">
        <f t="shared" si="2"/>
        <v>0.33921255915099791</v>
      </c>
      <c r="M12" s="27">
        <f t="shared" si="3"/>
        <v>0.65622846998768936</v>
      </c>
      <c r="N12" s="27">
        <f t="shared" si="4"/>
        <v>9.1684147398608598E-2</v>
      </c>
      <c r="O12" s="27">
        <f t="shared" si="5"/>
        <v>1.753371038042467</v>
      </c>
      <c r="P12" s="27">
        <f t="shared" si="6"/>
        <v>0.57686694109211989</v>
      </c>
      <c r="Q12" s="27">
        <f t="shared" si="7"/>
        <v>8.1663227611111569E-2</v>
      </c>
    </row>
    <row r="13" spans="1:17" hidden="1" x14ac:dyDescent="0.25">
      <c r="B13" s="28">
        <f t="shared" ref="B13:I13" si="8">MAX(B3:B12)</f>
        <v>2.1521113044588835</v>
      </c>
      <c r="C13" s="28">
        <f t="shared" si="8"/>
        <v>2.6323531665575759</v>
      </c>
      <c r="D13" s="28">
        <f t="shared" si="8"/>
        <v>1.561246153846154</v>
      </c>
      <c r="E13" s="28">
        <f t="shared" si="8"/>
        <v>1.4162476013621779</v>
      </c>
      <c r="F13" s="2">
        <f t="shared" si="8"/>
        <v>46.918153846153849</v>
      </c>
      <c r="G13" s="2">
        <f t="shared" si="8"/>
        <v>4.3053879153639203</v>
      </c>
      <c r="H13" s="28">
        <f t="shared" si="8"/>
        <v>68.104035393484381</v>
      </c>
      <c r="I13" s="28">
        <f t="shared" si="8"/>
        <v>82.067469230769234</v>
      </c>
    </row>
    <row r="16" spans="1:17" ht="15" customHeight="1" thickBot="1" x14ac:dyDescent="0.3">
      <c r="B16" s="32" t="s">
        <v>32</v>
      </c>
      <c r="C16" s="32"/>
      <c r="D16" s="34" t="s">
        <v>46</v>
      </c>
      <c r="E16" s="33" t="s">
        <v>33</v>
      </c>
      <c r="F16" s="33"/>
      <c r="G16" s="35" t="s">
        <v>47</v>
      </c>
      <c r="H16" s="32" t="s">
        <v>34</v>
      </c>
      <c r="I16" s="32"/>
      <c r="J16" s="34" t="s">
        <v>48</v>
      </c>
      <c r="K16" s="32" t="s">
        <v>35</v>
      </c>
      <c r="L16" s="32"/>
      <c r="M16" s="34" t="s">
        <v>49</v>
      </c>
      <c r="N16" s="34" t="s">
        <v>36</v>
      </c>
    </row>
    <row r="17" spans="2:14" ht="33" customHeight="1" thickTop="1" thickBot="1" x14ac:dyDescent="0.3">
      <c r="B17" s="26" t="s">
        <v>54</v>
      </c>
      <c r="C17" s="26" t="s">
        <v>55</v>
      </c>
      <c r="D17" s="34"/>
      <c r="E17" s="26" t="s">
        <v>56</v>
      </c>
      <c r="F17" s="25" t="s">
        <v>57</v>
      </c>
      <c r="G17" s="35"/>
      <c r="H17" s="26" t="s">
        <v>58</v>
      </c>
      <c r="I17" s="26" t="s">
        <v>59</v>
      </c>
      <c r="J17" s="34"/>
      <c r="K17" s="26" t="s">
        <v>60</v>
      </c>
      <c r="L17" s="26" t="s">
        <v>61</v>
      </c>
      <c r="M17" s="34"/>
      <c r="N17" s="34"/>
    </row>
    <row r="18" spans="2:14" ht="15.75" thickTop="1" x14ac:dyDescent="0.25">
      <c r="B18" s="27">
        <f>IF(J3="","",J3*0.55)</f>
        <v>-0.40254065973702152</v>
      </c>
      <c r="C18" s="27">
        <f>IF(K3="","",K3*0.45)</f>
        <v>7.7392340899305634E-2</v>
      </c>
      <c r="D18" s="27">
        <f>B18+C18</f>
        <v>-0.32514831883771589</v>
      </c>
      <c r="E18" s="27">
        <f>IF(L3="","",L3*0.6)</f>
        <v>6</v>
      </c>
      <c r="F18" s="27">
        <f>IF(M3="","",M3*0.4)</f>
        <v>0.17330176705809675</v>
      </c>
      <c r="G18" s="27">
        <f>E18+F18</f>
        <v>6.1733017670580965</v>
      </c>
      <c r="H18" s="27">
        <f>IF(N3="","",N3*0.65)</f>
        <v>6.5</v>
      </c>
      <c r="I18" s="27">
        <f>IF(O3="","",O3*0.35)</f>
        <v>1.4990201728958596</v>
      </c>
      <c r="J18" s="27">
        <f>H18+I18</f>
        <v>7.9990201728958592</v>
      </c>
      <c r="K18" s="27">
        <f>IF(P3="","",P3*0.7)</f>
        <v>0.96570408521065987</v>
      </c>
      <c r="L18" s="27">
        <f>IF(Q3="","",Q3*0.3)</f>
        <v>3</v>
      </c>
      <c r="M18" s="27">
        <f>K18+L18</f>
        <v>3.96570408521066</v>
      </c>
      <c r="N18" s="29">
        <f>(D18*0.2)+(G18*0.4)+(J18*0.3)+(M18*0.1)</f>
        <v>5.2005675034455194</v>
      </c>
    </row>
    <row r="19" spans="2:14" x14ac:dyDescent="0.25">
      <c r="B19" s="27">
        <f t="shared" ref="B19:B27" si="9">IF(J4="","",J4*0.55)</f>
        <v>1.1795765238801803</v>
      </c>
      <c r="C19" s="27">
        <f t="shared" ref="C19:C27" si="10">IF(K4="","",K4*0.45)</f>
        <v>0.83365370863179611</v>
      </c>
      <c r="D19" s="27">
        <f t="shared" ref="D19:D27" si="11">B19+C19</f>
        <v>2.0132302325119764</v>
      </c>
      <c r="E19" s="27">
        <f t="shared" ref="E19:E27" si="12">IF(L4="","",L4*0.6)</f>
        <v>0.13705673805450966</v>
      </c>
      <c r="F19" s="27">
        <f t="shared" ref="F19:F27" si="13">IF(M4="","",M4*0.4)</f>
        <v>0.53439018175883146</v>
      </c>
      <c r="G19" s="27">
        <f t="shared" ref="G19:G27" si="14">E19+F19</f>
        <v>0.67144691981334115</v>
      </c>
      <c r="H19" s="27">
        <f t="shared" ref="H19:H27" si="15">IF(N4="","",N4*0.65)</f>
        <v>0.11242621385812479</v>
      </c>
      <c r="I19" s="27">
        <f t="shared" ref="I19:I27" si="16">IF(O4="","",O4*0.35)</f>
        <v>3.5</v>
      </c>
      <c r="J19" s="27">
        <f t="shared" ref="J19:J27" si="17">H19+I19</f>
        <v>3.6124262138581247</v>
      </c>
      <c r="K19" s="27">
        <f t="shared" ref="K19:K27" si="18">IF(P4="","",P4*0.7)</f>
        <v>7</v>
      </c>
      <c r="L19" s="27">
        <f t="shared" ref="L19:L27" si="19">IF(Q4="","",Q4*0.3)</f>
        <v>7.4926943375486138E-2</v>
      </c>
      <c r="M19" s="27">
        <f t="shared" ref="M19:M27" si="20">K19+L19</f>
        <v>7.0749269433754858</v>
      </c>
      <c r="N19" s="29">
        <f t="shared" ref="N19:N27" si="21">(D19*0.2)+(G19*0.4)+(J19*0.3)+(M19*0.1)</f>
        <v>2.4624453729227174</v>
      </c>
    </row>
    <row r="20" spans="2:14" x14ac:dyDescent="0.25">
      <c r="B20" s="27">
        <f t="shared" si="9"/>
        <v>3.290185268404731</v>
      </c>
      <c r="C20" s="27">
        <f t="shared" si="10"/>
        <v>2.4605058406586537</v>
      </c>
      <c r="D20" s="27">
        <f t="shared" si="11"/>
        <v>5.7506911090633848</v>
      </c>
      <c r="E20" s="27">
        <f t="shared" si="12"/>
        <v>-0.27311105546628384</v>
      </c>
      <c r="F20" s="27">
        <f t="shared" si="13"/>
        <v>4</v>
      </c>
      <c r="G20" s="27">
        <f t="shared" si="14"/>
        <v>3.7268889445337163</v>
      </c>
      <c r="H20" s="27">
        <f t="shared" si="15"/>
        <v>0.14549085173429327</v>
      </c>
      <c r="I20" s="27">
        <f t="shared" si="16"/>
        <v>-17.013700253191622</v>
      </c>
      <c r="J20" s="27">
        <f t="shared" si="17"/>
        <v>-16.868209401457328</v>
      </c>
      <c r="K20" s="27">
        <f t="shared" si="18"/>
        <v>1.5628954736701359</v>
      </c>
      <c r="L20" s="27">
        <f t="shared" si="19"/>
        <v>2.9910868207440298E-2</v>
      </c>
      <c r="M20" s="27">
        <f t="shared" si="20"/>
        <v>1.5928063418775762</v>
      </c>
      <c r="N20" s="29">
        <f t="shared" si="21"/>
        <v>-2.260288386623277</v>
      </c>
    </row>
    <row r="21" spans="2:14" x14ac:dyDescent="0.25">
      <c r="B21" s="27">
        <f t="shared" si="9"/>
        <v>3.2614546157505337</v>
      </c>
      <c r="C21" s="27">
        <f t="shared" si="10"/>
        <v>2.3114139873658104</v>
      </c>
      <c r="D21" s="27">
        <f t="shared" si="11"/>
        <v>5.5728686031163441</v>
      </c>
      <c r="E21" s="27">
        <f t="shared" si="12"/>
        <v>-0.44715782081911415</v>
      </c>
      <c r="F21" s="27">
        <f t="shared" si="13"/>
        <v>-1.1930881682649996</v>
      </c>
      <c r="G21" s="27">
        <f t="shared" si="14"/>
        <v>-1.6402459890841139</v>
      </c>
      <c r="H21" s="27">
        <f t="shared" si="15"/>
        <v>0.10037971386789267</v>
      </c>
      <c r="I21" s="27">
        <f t="shared" si="16"/>
        <v>2.1384546339141153</v>
      </c>
      <c r="J21" s="27">
        <f t="shared" si="17"/>
        <v>2.2388343477820078</v>
      </c>
      <c r="K21" s="27">
        <f t="shared" si="18"/>
        <v>0.43177495676846517</v>
      </c>
      <c r="L21" s="27">
        <f t="shared" si="19"/>
        <v>1.5461250987717489E-2</v>
      </c>
      <c r="M21" s="27">
        <f t="shared" si="20"/>
        <v>0.44723620775618267</v>
      </c>
      <c r="N21" s="29">
        <f t="shared" si="21"/>
        <v>1.174849250099844</v>
      </c>
    </row>
    <row r="22" spans="2:14" x14ac:dyDescent="0.25">
      <c r="B22" s="27">
        <f t="shared" si="9"/>
        <v>1.4643633384381554</v>
      </c>
      <c r="C22" s="27">
        <f t="shared" si="10"/>
        <v>2.047289313880837</v>
      </c>
      <c r="D22" s="27">
        <f t="shared" si="11"/>
        <v>3.5116526523189924</v>
      </c>
      <c r="E22" s="27">
        <f t="shared" si="12"/>
        <v>0.475167410584869</v>
      </c>
      <c r="F22" s="27">
        <f t="shared" si="13"/>
        <v>0.57204373581423373</v>
      </c>
      <c r="G22" s="27">
        <f t="shared" si="14"/>
        <v>1.0472111463991027</v>
      </c>
      <c r="H22" s="27">
        <f t="shared" si="15"/>
        <v>5.3953212600546745E-2</v>
      </c>
      <c r="I22" s="27">
        <f t="shared" si="16"/>
        <v>0.51861166016239924</v>
      </c>
      <c r="J22" s="27">
        <f t="shared" si="17"/>
        <v>0.57256487276294599</v>
      </c>
      <c r="K22" s="27">
        <f t="shared" si="18"/>
        <v>0.74812490179616464</v>
      </c>
      <c r="L22" s="27">
        <f t="shared" si="19"/>
        <v>6.5014165798730164E-2</v>
      </c>
      <c r="M22" s="27">
        <f t="shared" si="20"/>
        <v>0.81313906759489485</v>
      </c>
      <c r="N22" s="29">
        <f t="shared" si="21"/>
        <v>1.3742983576118131</v>
      </c>
    </row>
    <row r="23" spans="2:14" x14ac:dyDescent="0.25">
      <c r="B23" s="27">
        <f t="shared" si="9"/>
        <v>3.373367577340463</v>
      </c>
      <c r="C23" s="27">
        <f t="shared" si="10"/>
        <v>2.3011992758605699</v>
      </c>
      <c r="D23" s="27">
        <f t="shared" si="11"/>
        <v>5.6745668532010329</v>
      </c>
      <c r="E23" s="27">
        <f t="shared" si="12"/>
        <v>-3.4063023096154013E-2</v>
      </c>
      <c r="F23" s="27">
        <f t="shared" si="13"/>
        <v>-9.2071416043650656E-2</v>
      </c>
      <c r="G23" s="27">
        <f t="shared" si="14"/>
        <v>-0.12613443913980465</v>
      </c>
      <c r="H23" s="27">
        <f t="shared" si="15"/>
        <v>0.10087119641306423</v>
      </c>
      <c r="I23" s="27">
        <f t="shared" si="16"/>
        <v>2.1769636910223613</v>
      </c>
      <c r="J23" s="27">
        <f t="shared" si="17"/>
        <v>2.2778348874354255</v>
      </c>
      <c r="K23" s="27">
        <f t="shared" si="18"/>
        <v>2.8230235541091369</v>
      </c>
      <c r="L23" s="27">
        <f t="shared" si="19"/>
        <v>7.6238628639796284E-4</v>
      </c>
      <c r="M23" s="27">
        <f t="shared" si="20"/>
        <v>2.8237859403955348</v>
      </c>
      <c r="N23" s="29">
        <f t="shared" si="21"/>
        <v>2.0501886552544661</v>
      </c>
    </row>
    <row r="24" spans="2:14" x14ac:dyDescent="0.25">
      <c r="B24" s="27">
        <f t="shared" si="9"/>
        <v>4.6079246812228458</v>
      </c>
      <c r="C24" s="27">
        <f t="shared" si="10"/>
        <v>3.1391383800376067</v>
      </c>
      <c r="D24" s="27">
        <f t="shared" si="11"/>
        <v>7.7470630612604525</v>
      </c>
      <c r="E24" s="27">
        <f t="shared" si="12"/>
        <v>0.16828474454688125</v>
      </c>
      <c r="F24" s="27">
        <f t="shared" si="13"/>
        <v>0.34978845108635714</v>
      </c>
      <c r="G24" s="27">
        <f t="shared" si="14"/>
        <v>0.51807319563323839</v>
      </c>
      <c r="H24" s="27">
        <f t="shared" si="15"/>
        <v>8.9555304546695622E-2</v>
      </c>
      <c r="I24" s="27">
        <f t="shared" si="16"/>
        <v>1.4862587133691099</v>
      </c>
      <c r="J24" s="27">
        <f t="shared" si="17"/>
        <v>1.5758140179158056</v>
      </c>
      <c r="K24" s="27">
        <f t="shared" si="18"/>
        <v>2.9811466303509691</v>
      </c>
      <c r="L24" s="27">
        <f t="shared" si="19"/>
        <v>1.1435382344091938E-2</v>
      </c>
      <c r="M24" s="27">
        <f t="shared" si="20"/>
        <v>2.9925820126950611</v>
      </c>
      <c r="N24" s="29">
        <f t="shared" si="21"/>
        <v>2.5286442971496337</v>
      </c>
    </row>
    <row r="25" spans="2:14" x14ac:dyDescent="0.25">
      <c r="B25" s="27">
        <f t="shared" si="9"/>
        <v>2.5476912608183531</v>
      </c>
      <c r="C25" s="27">
        <f t="shared" si="10"/>
        <v>2.3369253697322385</v>
      </c>
      <c r="D25" s="27">
        <f t="shared" si="11"/>
        <v>4.8846166305505916</v>
      </c>
      <c r="E25" s="27">
        <f t="shared" si="12"/>
        <v>0.19139182308368169</v>
      </c>
      <c r="F25" s="27">
        <f t="shared" si="13"/>
        <v>0.2681732523322376</v>
      </c>
      <c r="G25" s="27">
        <f t="shared" si="14"/>
        <v>0.45956507541591929</v>
      </c>
      <c r="H25" s="27">
        <f t="shared" si="15"/>
        <v>6.5874791482886316E-2</v>
      </c>
      <c r="I25" s="27">
        <f t="shared" si="16"/>
        <v>0.73697662502054873</v>
      </c>
      <c r="J25" s="27">
        <f t="shared" si="17"/>
        <v>0.80285141650343506</v>
      </c>
      <c r="K25" s="27">
        <f t="shared" si="18"/>
        <v>0.80880132464763987</v>
      </c>
      <c r="L25" s="27">
        <f t="shared" si="19"/>
        <v>2.6764852558138399E-2</v>
      </c>
      <c r="M25" s="27">
        <f t="shared" si="20"/>
        <v>0.8355661772057783</v>
      </c>
      <c r="N25" s="29">
        <f t="shared" si="21"/>
        <v>1.4851613989480945</v>
      </c>
    </row>
    <row r="26" spans="2:14" x14ac:dyDescent="0.25">
      <c r="B26" s="27">
        <f t="shared" si="9"/>
        <v>5.5</v>
      </c>
      <c r="C26" s="27">
        <f t="shared" si="10"/>
        <v>4.5</v>
      </c>
      <c r="D26" s="27">
        <f t="shared" si="11"/>
        <v>10</v>
      </c>
      <c r="E26" s="27">
        <f t="shared" si="12"/>
        <v>0.11427695079481587</v>
      </c>
      <c r="F26" s="27">
        <f t="shared" si="13"/>
        <v>0.11478540486166518</v>
      </c>
      <c r="G26" s="27">
        <f t="shared" si="14"/>
        <v>0.22906235565648103</v>
      </c>
      <c r="H26" s="27">
        <f t="shared" si="15"/>
        <v>3.7174749660425138E-2</v>
      </c>
      <c r="I26" s="27">
        <f t="shared" si="16"/>
        <v>0.29813877268919853</v>
      </c>
      <c r="J26" s="27">
        <f t="shared" si="17"/>
        <v>0.33531352234962364</v>
      </c>
      <c r="K26" s="27">
        <f t="shared" si="18"/>
        <v>0.24254722550998739</v>
      </c>
      <c r="L26" s="27">
        <f t="shared" si="19"/>
        <v>1.35346077087881E-2</v>
      </c>
      <c r="M26" s="27">
        <f t="shared" si="20"/>
        <v>0.25608183321877548</v>
      </c>
      <c r="N26" s="29">
        <f t="shared" si="21"/>
        <v>2.2178271822893572</v>
      </c>
    </row>
    <row r="27" spans="2:14" x14ac:dyDescent="0.25">
      <c r="B27" s="27">
        <f t="shared" si="9"/>
        <v>3.6540653855298246</v>
      </c>
      <c r="C27" s="27">
        <f t="shared" si="10"/>
        <v>4.0287359772776945</v>
      </c>
      <c r="D27" s="27">
        <f t="shared" si="11"/>
        <v>7.6828013628075187</v>
      </c>
      <c r="E27" s="27">
        <f t="shared" si="12"/>
        <v>0.20352753549059874</v>
      </c>
      <c r="F27" s="27">
        <f t="shared" si="13"/>
        <v>0.26249138799507576</v>
      </c>
      <c r="G27" s="27">
        <f t="shared" si="14"/>
        <v>0.46601892348567453</v>
      </c>
      <c r="H27" s="27">
        <f t="shared" si="15"/>
        <v>5.9594695809095592E-2</v>
      </c>
      <c r="I27" s="27">
        <f t="shared" si="16"/>
        <v>0.61367986331486335</v>
      </c>
      <c r="J27" s="27">
        <f t="shared" si="17"/>
        <v>0.67327455912395895</v>
      </c>
      <c r="K27" s="27">
        <f t="shared" si="18"/>
        <v>0.40380685876448391</v>
      </c>
      <c r="L27" s="27">
        <f t="shared" si="19"/>
        <v>2.4498968283333471E-2</v>
      </c>
      <c r="M27" s="27">
        <f t="shared" si="20"/>
        <v>0.42830582704781739</v>
      </c>
      <c r="N27" s="29">
        <f t="shared" si="21"/>
        <v>1.9677807923977431</v>
      </c>
    </row>
    <row r="28" spans="2:14" x14ac:dyDescent="0.25">
      <c r="J28" s="30"/>
    </row>
    <row r="29" spans="2:14" x14ac:dyDescent="0.25">
      <c r="J29" s="30"/>
    </row>
    <row r="30" spans="2:14" x14ac:dyDescent="0.25">
      <c r="J30" s="30"/>
    </row>
    <row r="31" spans="2:14" x14ac:dyDescent="0.25">
      <c r="J31" s="30"/>
    </row>
    <row r="32" spans="2:14" x14ac:dyDescent="0.25">
      <c r="J32" s="30"/>
    </row>
    <row r="33" spans="10:10" x14ac:dyDescent="0.25">
      <c r="J33" s="30"/>
    </row>
    <row r="34" spans="10:10" x14ac:dyDescent="0.25">
      <c r="J34" s="30"/>
    </row>
    <row r="35" spans="10:10" x14ac:dyDescent="0.25">
      <c r="J35" s="30"/>
    </row>
    <row r="36" spans="10:10" x14ac:dyDescent="0.25">
      <c r="J36" s="30"/>
    </row>
    <row r="37" spans="10:10" x14ac:dyDescent="0.25">
      <c r="J37" s="30"/>
    </row>
  </sheetData>
  <mergeCells count="18">
    <mergeCell ref="L1:M1"/>
    <mergeCell ref="N1:O1"/>
    <mergeCell ref="P1:Q1"/>
    <mergeCell ref="A1:A2"/>
    <mergeCell ref="B1:C1"/>
    <mergeCell ref="D1:E1"/>
    <mergeCell ref="F1:G1"/>
    <mergeCell ref="H1:I1"/>
    <mergeCell ref="J1:K1"/>
    <mergeCell ref="B16:C16"/>
    <mergeCell ref="E16:F16"/>
    <mergeCell ref="H16:I16"/>
    <mergeCell ref="K16:L16"/>
    <mergeCell ref="N16:N17"/>
    <mergeCell ref="D16:D17"/>
    <mergeCell ref="G16:G17"/>
    <mergeCell ref="J16:J17"/>
    <mergeCell ref="M16:M1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showGridLines="0" topLeftCell="H1" workbookViewId="0">
      <selection activeCell="T16" sqref="T16"/>
    </sheetView>
  </sheetViews>
  <sheetFormatPr baseColWidth="10" defaultRowHeight="15" x14ac:dyDescent="0.25"/>
  <sheetData>
    <row r="1" spans="2:2" x14ac:dyDescent="0.25">
      <c r="B1" t="s">
        <v>38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5"/>
  <sheetViews>
    <sheetView showGridLines="0" topLeftCell="A2" workbookViewId="0">
      <selection activeCell="O24" sqref="O24"/>
    </sheetView>
  </sheetViews>
  <sheetFormatPr baseColWidth="10" defaultRowHeight="15" x14ac:dyDescent="0.25"/>
  <cols>
    <col min="1" max="1" width="3.85546875" bestFit="1" customWidth="1"/>
    <col min="2" max="2" width="25" customWidth="1"/>
    <col min="3" max="3" width="11.42578125" hidden="1" customWidth="1"/>
    <col min="4" max="4" width="14" hidden="1" customWidth="1"/>
    <col min="5" max="5" width="12" customWidth="1"/>
    <col min="6" max="7" width="11.42578125" hidden="1" customWidth="1"/>
    <col min="8" max="8" width="11.5703125" customWidth="1"/>
    <col min="9" max="10" width="11.42578125" hidden="1" customWidth="1"/>
    <col min="11" max="11" width="13.5703125" customWidth="1"/>
    <col min="12" max="12" width="15.28515625" hidden="1" customWidth="1"/>
    <col min="13" max="13" width="13.140625" hidden="1" customWidth="1"/>
    <col min="14" max="14" width="14.140625" customWidth="1"/>
    <col min="15" max="15" width="15.5703125" customWidth="1"/>
  </cols>
  <sheetData>
    <row r="1" spans="1:18" x14ac:dyDescent="0.25">
      <c r="C1" s="37" t="s">
        <v>32</v>
      </c>
      <c r="D1" s="37"/>
      <c r="F1" s="37" t="s">
        <v>33</v>
      </c>
      <c r="G1" s="37"/>
      <c r="I1" s="37" t="s">
        <v>34</v>
      </c>
      <c r="J1" s="37"/>
      <c r="L1" s="37" t="s">
        <v>35</v>
      </c>
      <c r="M1" s="37"/>
    </row>
    <row r="2" spans="1:18" x14ac:dyDescent="0.25">
      <c r="A2" s="31" t="s">
        <v>40</v>
      </c>
      <c r="B2" s="12" t="s">
        <v>16</v>
      </c>
      <c r="C2" s="8" t="s">
        <v>21</v>
      </c>
      <c r="D2" s="8" t="s">
        <v>22</v>
      </c>
      <c r="E2" s="13" t="s">
        <v>46</v>
      </c>
      <c r="F2" s="8" t="s">
        <v>23</v>
      </c>
      <c r="G2" s="8" t="s">
        <v>24</v>
      </c>
      <c r="H2" s="6" t="s">
        <v>47</v>
      </c>
      <c r="I2" s="8" t="s">
        <v>25</v>
      </c>
      <c r="J2" s="8" t="s">
        <v>50</v>
      </c>
      <c r="K2" s="6" t="s">
        <v>48</v>
      </c>
      <c r="L2" s="8" t="s">
        <v>26</v>
      </c>
      <c r="M2" s="8" t="s">
        <v>27</v>
      </c>
      <c r="N2" s="6" t="s">
        <v>49</v>
      </c>
      <c r="O2" s="9" t="s">
        <v>36</v>
      </c>
    </row>
    <row r="3" spans="1:18" x14ac:dyDescent="0.25">
      <c r="A3" s="4">
        <v>1</v>
      </c>
      <c r="B3" s="11" t="str">
        <f>'RAZONES FINANCIERAS'!A11</f>
        <v>LALA</v>
      </c>
      <c r="C3" s="1">
        <f>'RAZONES FINANCIERAS'!B26</f>
        <v>5.5</v>
      </c>
      <c r="D3" s="1">
        <f>'RAZONES FINANCIERAS'!C26</f>
        <v>4.5</v>
      </c>
      <c r="E3" s="14">
        <f>'RAZONES FINANCIERAS'!D26</f>
        <v>10</v>
      </c>
      <c r="F3" s="14">
        <f>'RAZONES FINANCIERAS'!E26</f>
        <v>0.11427695079481587</v>
      </c>
      <c r="G3" s="14">
        <f>'RAZONES FINANCIERAS'!F26</f>
        <v>0.11478540486166518</v>
      </c>
      <c r="H3" s="14">
        <f>'RAZONES FINANCIERAS'!G26</f>
        <v>0.22906235565648103</v>
      </c>
      <c r="I3" s="14">
        <f>'RAZONES FINANCIERAS'!H26</f>
        <v>3.7174749660425138E-2</v>
      </c>
      <c r="J3" s="14">
        <f>'RAZONES FINANCIERAS'!I26</f>
        <v>0.29813877268919853</v>
      </c>
      <c r="K3" s="14">
        <f>'RAZONES FINANCIERAS'!J26</f>
        <v>0.33531352234962364</v>
      </c>
      <c r="L3" s="14">
        <f>'RAZONES FINANCIERAS'!K26</f>
        <v>0.24254722550998739</v>
      </c>
      <c r="M3" s="14">
        <f>'RAZONES FINANCIERAS'!L26</f>
        <v>1.35346077087881E-2</v>
      </c>
      <c r="N3" s="14">
        <f>'RAZONES FINANCIERAS'!M26</f>
        <v>0.25608183321877548</v>
      </c>
      <c r="O3" s="15">
        <f>'RAZONES FINANCIERAS'!N26</f>
        <v>2.2178271822893572</v>
      </c>
    </row>
    <row r="4" spans="1:18" x14ac:dyDescent="0.25">
      <c r="A4" s="4">
        <v>2</v>
      </c>
      <c r="B4" s="11" t="str">
        <f>'RAZONES FINANCIERAS'!A9</f>
        <v>TELEVISA</v>
      </c>
      <c r="C4" s="1">
        <f>'RAZONES FINANCIERAS'!B24</f>
        <v>4.6079246812228458</v>
      </c>
      <c r="D4" s="1">
        <f>'RAZONES FINANCIERAS'!C24</f>
        <v>3.1391383800376067</v>
      </c>
      <c r="E4" s="14">
        <f>'RAZONES FINANCIERAS'!D24</f>
        <v>7.7470630612604525</v>
      </c>
      <c r="F4" s="14">
        <f>'RAZONES FINANCIERAS'!E24</f>
        <v>0.16828474454688125</v>
      </c>
      <c r="G4" s="14">
        <f>'RAZONES FINANCIERAS'!F24</f>
        <v>0.34978845108635714</v>
      </c>
      <c r="H4" s="14">
        <f>'RAZONES FINANCIERAS'!G24</f>
        <v>0.51807319563323839</v>
      </c>
      <c r="I4" s="14">
        <f>'RAZONES FINANCIERAS'!H24</f>
        <v>8.9555304546695622E-2</v>
      </c>
      <c r="J4" s="14">
        <f>'RAZONES FINANCIERAS'!I24</f>
        <v>1.4862587133691099</v>
      </c>
      <c r="K4" s="14">
        <f>'RAZONES FINANCIERAS'!J24</f>
        <v>1.5758140179158056</v>
      </c>
      <c r="L4" s="14">
        <f>'RAZONES FINANCIERAS'!K24</f>
        <v>2.9811466303509691</v>
      </c>
      <c r="M4" s="14">
        <f>'RAZONES FINANCIERAS'!L24</f>
        <v>1.1435382344091938E-2</v>
      </c>
      <c r="N4" s="14">
        <f>'RAZONES FINANCIERAS'!M24</f>
        <v>2.9925820126950611</v>
      </c>
      <c r="O4" s="15">
        <f>'RAZONES FINANCIERAS'!N24</f>
        <v>2.5286442971496337</v>
      </c>
    </row>
    <row r="5" spans="1:18" x14ac:dyDescent="0.25">
      <c r="A5" s="4">
        <v>3</v>
      </c>
      <c r="B5" s="11" t="str">
        <f>'RAZONES FINANCIERAS'!A12</f>
        <v>HERDEZ</v>
      </c>
      <c r="C5" s="1">
        <f>'RAZONES FINANCIERAS'!B27</f>
        <v>3.6540653855298246</v>
      </c>
      <c r="D5" s="1">
        <f>'RAZONES FINANCIERAS'!C27</f>
        <v>4.0287359772776945</v>
      </c>
      <c r="E5" s="14">
        <f>'RAZONES FINANCIERAS'!D27</f>
        <v>7.6828013628075187</v>
      </c>
      <c r="F5" s="14">
        <f>'RAZONES FINANCIERAS'!E27</f>
        <v>0.20352753549059874</v>
      </c>
      <c r="G5" s="14">
        <f>'RAZONES FINANCIERAS'!F27</f>
        <v>0.26249138799507576</v>
      </c>
      <c r="H5" s="14">
        <f>'RAZONES FINANCIERAS'!G27</f>
        <v>0.46601892348567453</v>
      </c>
      <c r="I5" s="14">
        <f>'RAZONES FINANCIERAS'!H27</f>
        <v>5.9594695809095592E-2</v>
      </c>
      <c r="J5" s="14">
        <f>'RAZONES FINANCIERAS'!I27</f>
        <v>0.61367986331486335</v>
      </c>
      <c r="K5" s="14">
        <f>'RAZONES FINANCIERAS'!J27</f>
        <v>0.67327455912395895</v>
      </c>
      <c r="L5" s="14">
        <f>'RAZONES FINANCIERAS'!K27</f>
        <v>0.40380685876448391</v>
      </c>
      <c r="M5" s="14">
        <f>'RAZONES FINANCIERAS'!L27</f>
        <v>2.4498968283333471E-2</v>
      </c>
      <c r="N5" s="14">
        <f>'RAZONES FINANCIERAS'!M27</f>
        <v>0.42830582704781739</v>
      </c>
      <c r="O5" s="15">
        <f>'RAZONES FINANCIERAS'!N27</f>
        <v>1.9677807923977431</v>
      </c>
    </row>
    <row r="6" spans="1:18" x14ac:dyDescent="0.25">
      <c r="A6" s="4">
        <v>4</v>
      </c>
      <c r="B6" s="11" t="str">
        <f>'RAZONES FINANCIERAS'!A5</f>
        <v>PEMEX</v>
      </c>
      <c r="C6" s="1">
        <f>'RAZONES FINANCIERAS'!B20</f>
        <v>3.290185268404731</v>
      </c>
      <c r="D6" s="1">
        <f>'RAZONES FINANCIERAS'!C20</f>
        <v>2.4605058406586537</v>
      </c>
      <c r="E6" s="14">
        <f>'RAZONES FINANCIERAS'!D20</f>
        <v>5.7506911090633848</v>
      </c>
      <c r="F6" s="14">
        <f>'RAZONES FINANCIERAS'!E20</f>
        <v>-0.27311105546628384</v>
      </c>
      <c r="G6" s="14">
        <f>'RAZONES FINANCIERAS'!F20</f>
        <v>4</v>
      </c>
      <c r="H6" s="14">
        <f>'RAZONES FINANCIERAS'!G20</f>
        <v>3.7268889445337163</v>
      </c>
      <c r="I6" s="14">
        <f>'RAZONES FINANCIERAS'!H20</f>
        <v>0.14549085173429327</v>
      </c>
      <c r="J6" s="14">
        <f>'RAZONES FINANCIERAS'!I20</f>
        <v>-17.013700253191622</v>
      </c>
      <c r="K6" s="14">
        <f>'RAZONES FINANCIERAS'!J20</f>
        <v>-16.868209401457328</v>
      </c>
      <c r="L6" s="14">
        <f>'RAZONES FINANCIERAS'!K20</f>
        <v>1.5628954736701359</v>
      </c>
      <c r="M6" s="14">
        <f>'RAZONES FINANCIERAS'!L20</f>
        <v>2.9910868207440298E-2</v>
      </c>
      <c r="N6" s="14">
        <f>'RAZONES FINANCIERAS'!M20</f>
        <v>1.5928063418775762</v>
      </c>
      <c r="O6" s="15">
        <f>'RAZONES FINANCIERAS'!N20</f>
        <v>-2.260288386623277</v>
      </c>
    </row>
    <row r="7" spans="1:18" x14ac:dyDescent="0.25">
      <c r="A7" s="4">
        <v>5</v>
      </c>
      <c r="B7" s="11" t="str">
        <f>'RAZONES FINANCIERAS'!A8</f>
        <v>AXTEL</v>
      </c>
      <c r="C7" s="1">
        <f>'RAZONES FINANCIERAS'!B23</f>
        <v>3.373367577340463</v>
      </c>
      <c r="D7" s="1">
        <f>'RAZONES FINANCIERAS'!C23</f>
        <v>2.3011992758605699</v>
      </c>
      <c r="E7" s="14">
        <f>'RAZONES FINANCIERAS'!D23</f>
        <v>5.6745668532010329</v>
      </c>
      <c r="F7" s="14">
        <f>'RAZONES FINANCIERAS'!E23</f>
        <v>-3.4063023096154013E-2</v>
      </c>
      <c r="G7" s="14">
        <f>'RAZONES FINANCIERAS'!F23</f>
        <v>-9.2071416043650656E-2</v>
      </c>
      <c r="H7" s="14">
        <f>'RAZONES FINANCIERAS'!G23</f>
        <v>-0.12613443913980465</v>
      </c>
      <c r="I7" s="14">
        <f>'RAZONES FINANCIERAS'!H23</f>
        <v>0.10087119641306423</v>
      </c>
      <c r="J7" s="14">
        <f>'RAZONES FINANCIERAS'!I23</f>
        <v>2.1769636910223613</v>
      </c>
      <c r="K7" s="14">
        <f>'RAZONES FINANCIERAS'!J23</f>
        <v>2.2778348874354255</v>
      </c>
      <c r="L7" s="14">
        <f>'RAZONES FINANCIERAS'!K23</f>
        <v>2.8230235541091369</v>
      </c>
      <c r="M7" s="14">
        <f>'RAZONES FINANCIERAS'!L23</f>
        <v>7.6238628639796284E-4</v>
      </c>
      <c r="N7" s="14">
        <f>'RAZONES FINANCIERAS'!M23</f>
        <v>2.8237859403955348</v>
      </c>
      <c r="O7" s="15">
        <f>'RAZONES FINANCIERAS'!N23</f>
        <v>2.0501886552544661</v>
      </c>
    </row>
    <row r="8" spans="1:18" x14ac:dyDescent="0.25">
      <c r="A8" s="4">
        <v>6</v>
      </c>
      <c r="B8" s="11" t="str">
        <f>'RAZONES FINANCIERAS'!A6</f>
        <v>ELEKTRA</v>
      </c>
      <c r="C8" s="1">
        <f>'RAZONES FINANCIERAS'!B21</f>
        <v>3.2614546157505337</v>
      </c>
      <c r="D8" s="1">
        <f>'RAZONES FINANCIERAS'!C21</f>
        <v>2.3114139873658104</v>
      </c>
      <c r="E8" s="14">
        <f>'RAZONES FINANCIERAS'!D21</f>
        <v>5.5728686031163441</v>
      </c>
      <c r="F8" s="14">
        <f>'RAZONES FINANCIERAS'!E21</f>
        <v>-0.44715782081911415</v>
      </c>
      <c r="G8" s="14">
        <f>'RAZONES FINANCIERAS'!F21</f>
        <v>-1.1930881682649996</v>
      </c>
      <c r="H8" s="14">
        <f>'RAZONES FINANCIERAS'!G21</f>
        <v>-1.6402459890841139</v>
      </c>
      <c r="I8" s="14">
        <f>'RAZONES FINANCIERAS'!H21</f>
        <v>0.10037971386789267</v>
      </c>
      <c r="J8" s="14">
        <f>'RAZONES FINANCIERAS'!I21</f>
        <v>2.1384546339141153</v>
      </c>
      <c r="K8" s="14">
        <f>'RAZONES FINANCIERAS'!J21</f>
        <v>2.2388343477820078</v>
      </c>
      <c r="L8" s="14">
        <f>'RAZONES FINANCIERAS'!K21</f>
        <v>0.43177495676846517</v>
      </c>
      <c r="M8" s="14">
        <f>'RAZONES FINANCIERAS'!L21</f>
        <v>1.5461250987717489E-2</v>
      </c>
      <c r="N8" s="14">
        <f>'RAZONES FINANCIERAS'!M21</f>
        <v>0.44723620775618267</v>
      </c>
      <c r="O8" s="15">
        <f>'RAZONES FINANCIERAS'!N21</f>
        <v>1.174849250099844</v>
      </c>
    </row>
    <row r="9" spans="1:18" x14ac:dyDescent="0.25">
      <c r="A9" s="4">
        <v>7</v>
      </c>
      <c r="B9" s="11" t="str">
        <f>'RAZONES FINANCIERAS'!A10</f>
        <v>FEMSA</v>
      </c>
      <c r="C9" s="1">
        <f>'RAZONES FINANCIERAS'!B25</f>
        <v>2.5476912608183531</v>
      </c>
      <c r="D9" s="1">
        <f>'RAZONES FINANCIERAS'!C25</f>
        <v>2.3369253697322385</v>
      </c>
      <c r="E9" s="14">
        <f>'RAZONES FINANCIERAS'!D25</f>
        <v>4.8846166305505916</v>
      </c>
      <c r="F9" s="14">
        <f>'RAZONES FINANCIERAS'!E25</f>
        <v>0.19139182308368169</v>
      </c>
      <c r="G9" s="14">
        <f>'RAZONES FINANCIERAS'!F25</f>
        <v>0.2681732523322376</v>
      </c>
      <c r="H9" s="14">
        <f>'RAZONES FINANCIERAS'!G25</f>
        <v>0.45956507541591929</v>
      </c>
      <c r="I9" s="14">
        <f>'RAZONES FINANCIERAS'!H25</f>
        <v>6.5874791482886316E-2</v>
      </c>
      <c r="J9" s="14">
        <f>'RAZONES FINANCIERAS'!I25</f>
        <v>0.73697662502054873</v>
      </c>
      <c r="K9" s="14">
        <f>'RAZONES FINANCIERAS'!J25</f>
        <v>0.80285141650343506</v>
      </c>
      <c r="L9" s="14">
        <f>'RAZONES FINANCIERAS'!K25</f>
        <v>0.80880132464763987</v>
      </c>
      <c r="M9" s="14">
        <f>'RAZONES FINANCIERAS'!L25</f>
        <v>2.6764852558138399E-2</v>
      </c>
      <c r="N9" s="14">
        <f>'RAZONES FINANCIERAS'!M25</f>
        <v>0.8355661772057783</v>
      </c>
      <c r="O9" s="15">
        <f>'RAZONES FINANCIERAS'!N25</f>
        <v>1.4851613989480945</v>
      </c>
    </row>
    <row r="10" spans="1:18" x14ac:dyDescent="0.25">
      <c r="A10" s="4">
        <v>8</v>
      </c>
      <c r="B10" s="11" t="str">
        <f>'RAZONES FINANCIERAS'!A7</f>
        <v>WALMEX</v>
      </c>
      <c r="C10" s="1">
        <f>'RAZONES FINANCIERAS'!B22</f>
        <v>1.4643633384381554</v>
      </c>
      <c r="D10" s="1">
        <f>'RAZONES FINANCIERAS'!C22</f>
        <v>2.047289313880837</v>
      </c>
      <c r="E10" s="14">
        <f>'RAZONES FINANCIERAS'!D22</f>
        <v>3.5116526523189924</v>
      </c>
      <c r="F10" s="14">
        <f>'RAZONES FINANCIERAS'!E22</f>
        <v>0.475167410584869</v>
      </c>
      <c r="G10" s="14">
        <f>'RAZONES FINANCIERAS'!F22</f>
        <v>0.57204373581423373</v>
      </c>
      <c r="H10" s="14">
        <f>'RAZONES FINANCIERAS'!G22</f>
        <v>1.0472111463991027</v>
      </c>
      <c r="I10" s="14">
        <f>'RAZONES FINANCIERAS'!H22</f>
        <v>5.3953212600546745E-2</v>
      </c>
      <c r="J10" s="14">
        <f>'RAZONES FINANCIERAS'!I22</f>
        <v>0.51861166016239924</v>
      </c>
      <c r="K10" s="14">
        <f>'RAZONES FINANCIERAS'!J22</f>
        <v>0.57256487276294599</v>
      </c>
      <c r="L10" s="14">
        <f>'RAZONES FINANCIERAS'!K22</f>
        <v>0.74812490179616464</v>
      </c>
      <c r="M10" s="14">
        <f>'RAZONES FINANCIERAS'!L22</f>
        <v>6.5014165798730164E-2</v>
      </c>
      <c r="N10" s="14">
        <f>'RAZONES FINANCIERAS'!M22</f>
        <v>0.81313906759489485</v>
      </c>
      <c r="O10" s="15">
        <f>'RAZONES FINANCIERAS'!N22</f>
        <v>1.3742983576118131</v>
      </c>
    </row>
    <row r="11" spans="1:18" x14ac:dyDescent="0.25">
      <c r="A11" s="4">
        <v>9</v>
      </c>
      <c r="B11" s="11" t="str">
        <f>'RAZONES FINANCIERAS'!A4</f>
        <v>VOLARIS</v>
      </c>
      <c r="C11" s="1">
        <f>'RAZONES FINANCIERAS'!B19</f>
        <v>1.1795765238801803</v>
      </c>
      <c r="D11" s="1">
        <f>'RAZONES FINANCIERAS'!C19</f>
        <v>0.83365370863179611</v>
      </c>
      <c r="E11" s="14">
        <f>'RAZONES FINANCIERAS'!D19</f>
        <v>2.0132302325119764</v>
      </c>
      <c r="F11" s="14">
        <f>'RAZONES FINANCIERAS'!E19</f>
        <v>0.13705673805450966</v>
      </c>
      <c r="G11" s="14">
        <f>'RAZONES FINANCIERAS'!F19</f>
        <v>0.53439018175883146</v>
      </c>
      <c r="H11" s="14">
        <f>'RAZONES FINANCIERAS'!G19</f>
        <v>0.67144691981334115</v>
      </c>
      <c r="I11" s="14">
        <f>'RAZONES FINANCIERAS'!H19</f>
        <v>0.11242621385812479</v>
      </c>
      <c r="J11" s="14">
        <f>'RAZONES FINANCIERAS'!I19</f>
        <v>3.5</v>
      </c>
      <c r="K11" s="14">
        <f>'RAZONES FINANCIERAS'!J19</f>
        <v>3.6124262138581247</v>
      </c>
      <c r="L11" s="14">
        <f>'RAZONES FINANCIERAS'!K19</f>
        <v>7</v>
      </c>
      <c r="M11" s="14">
        <f>'RAZONES FINANCIERAS'!L19</f>
        <v>7.4926943375486138E-2</v>
      </c>
      <c r="N11" s="14">
        <f>'RAZONES FINANCIERAS'!M19</f>
        <v>7.0749269433754858</v>
      </c>
      <c r="O11" s="15">
        <f>'RAZONES FINANCIERAS'!N19</f>
        <v>2.4624453729227174</v>
      </c>
    </row>
    <row r="12" spans="1:18" x14ac:dyDescent="0.25">
      <c r="A12" s="4">
        <v>10</v>
      </c>
      <c r="B12" s="7" t="str">
        <f>'RAZONES FINANCIERAS'!A3</f>
        <v>ALSEA</v>
      </c>
      <c r="C12" s="5">
        <f>'RAZONES FINANCIERAS'!B18</f>
        <v>-0.40254065973702152</v>
      </c>
      <c r="D12" s="5">
        <f>'RAZONES FINANCIERAS'!C18</f>
        <v>7.7392340899305634E-2</v>
      </c>
      <c r="E12" s="16">
        <f>'RAZONES FINANCIERAS'!D18</f>
        <v>-0.32514831883771589</v>
      </c>
      <c r="F12" s="16">
        <f>'RAZONES FINANCIERAS'!E18</f>
        <v>6</v>
      </c>
      <c r="G12" s="16">
        <f>'RAZONES FINANCIERAS'!F18</f>
        <v>0.17330176705809675</v>
      </c>
      <c r="H12" s="16">
        <f>'RAZONES FINANCIERAS'!G18</f>
        <v>6.1733017670580965</v>
      </c>
      <c r="I12" s="16">
        <f>'RAZONES FINANCIERAS'!H18</f>
        <v>6.5</v>
      </c>
      <c r="J12" s="16">
        <f>'RAZONES FINANCIERAS'!I18</f>
        <v>1.4990201728958596</v>
      </c>
      <c r="K12" s="16">
        <f>'RAZONES FINANCIERAS'!J18</f>
        <v>7.9990201728958592</v>
      </c>
      <c r="L12" s="16">
        <f>'RAZONES FINANCIERAS'!K18</f>
        <v>0.96570408521065987</v>
      </c>
      <c r="M12" s="16">
        <f>'RAZONES FINANCIERAS'!L18</f>
        <v>3</v>
      </c>
      <c r="N12" s="16">
        <f>'RAZONES FINANCIERAS'!M18</f>
        <v>3.96570408521066</v>
      </c>
      <c r="O12" s="17">
        <f>'RAZONES FINANCIERAS'!N18</f>
        <v>5.2005675034455194</v>
      </c>
    </row>
    <row r="16" spans="1:18" x14ac:dyDescent="0.25">
      <c r="M16" s="2"/>
      <c r="N16" s="2"/>
      <c r="O16" s="2"/>
      <c r="P16" s="2"/>
      <c r="Q16" s="2"/>
      <c r="R16" s="2"/>
    </row>
    <row r="17" spans="13:18" x14ac:dyDescent="0.25">
      <c r="M17" s="2"/>
      <c r="N17" s="2"/>
      <c r="O17" s="2"/>
      <c r="P17" s="2"/>
      <c r="Q17" s="2"/>
      <c r="R17" s="2"/>
    </row>
    <row r="18" spans="13:18" x14ac:dyDescent="0.25">
      <c r="M18" s="2"/>
      <c r="N18" s="2"/>
      <c r="O18" s="2"/>
      <c r="P18" s="2"/>
      <c r="Q18" s="2"/>
      <c r="R18" s="2"/>
    </row>
    <row r="19" spans="13:18" x14ac:dyDescent="0.25">
      <c r="M19" s="2"/>
      <c r="N19" s="2"/>
      <c r="O19" s="2"/>
      <c r="P19" s="2"/>
      <c r="Q19" s="2"/>
      <c r="R19" s="2"/>
    </row>
    <row r="20" spans="13:18" x14ac:dyDescent="0.25">
      <c r="M20" s="2"/>
      <c r="N20" s="2"/>
      <c r="O20" s="2"/>
      <c r="P20" s="2"/>
      <c r="Q20" s="2"/>
      <c r="R20" s="2"/>
    </row>
    <row r="21" spans="13:18" x14ac:dyDescent="0.25">
      <c r="M21" s="2"/>
      <c r="N21" s="2"/>
      <c r="O21" s="2"/>
      <c r="P21" s="2"/>
      <c r="Q21" s="2"/>
      <c r="R21" s="2"/>
    </row>
    <row r="22" spans="13:18" x14ac:dyDescent="0.25">
      <c r="M22" s="2"/>
      <c r="N22" s="2"/>
      <c r="O22" s="2"/>
      <c r="P22" s="2"/>
      <c r="Q22" s="2"/>
      <c r="R22" s="2"/>
    </row>
    <row r="23" spans="13:18" x14ac:dyDescent="0.25">
      <c r="M23" s="2"/>
      <c r="N23" s="2"/>
      <c r="O23" s="2"/>
      <c r="P23" s="2"/>
      <c r="Q23" s="2"/>
      <c r="R23" s="2"/>
    </row>
    <row r="24" spans="13:18" x14ac:dyDescent="0.25">
      <c r="M24" s="2"/>
      <c r="N24" s="2"/>
      <c r="O24" s="2"/>
      <c r="P24" s="2"/>
      <c r="Q24" s="2"/>
      <c r="R24" s="2"/>
    </row>
    <row r="25" spans="13:18" x14ac:dyDescent="0.25">
      <c r="M25" s="2"/>
      <c r="N25" s="2"/>
      <c r="O25" s="2"/>
      <c r="P25" s="2"/>
      <c r="Q25" s="2"/>
      <c r="R25" s="2"/>
    </row>
  </sheetData>
  <mergeCells count="4">
    <mergeCell ref="I1:J1"/>
    <mergeCell ref="L1:M1"/>
    <mergeCell ref="C1:D1"/>
    <mergeCell ref="F1:G1"/>
  </mergeCell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5"/>
  <sheetViews>
    <sheetView showGridLines="0" workbookViewId="0">
      <selection activeCell="Q21" sqref="Q21"/>
    </sheetView>
  </sheetViews>
  <sheetFormatPr baseColWidth="10" defaultRowHeight="15" x14ac:dyDescent="0.25"/>
  <cols>
    <col min="1" max="1" width="3.85546875" customWidth="1"/>
    <col min="2" max="2" width="25" customWidth="1"/>
    <col min="3" max="3" width="11.42578125" hidden="1" customWidth="1"/>
    <col min="4" max="4" width="14" hidden="1" customWidth="1"/>
    <col min="5" max="5" width="12" customWidth="1"/>
    <col min="6" max="7" width="11.42578125" hidden="1" customWidth="1"/>
    <col min="8" max="8" width="11.5703125" customWidth="1"/>
    <col min="9" max="10" width="11.42578125" hidden="1" customWidth="1"/>
    <col min="11" max="11" width="13.5703125" customWidth="1"/>
    <col min="12" max="12" width="15.28515625" hidden="1" customWidth="1"/>
    <col min="13" max="13" width="13.140625" hidden="1" customWidth="1"/>
    <col min="14" max="14" width="14.140625" customWidth="1"/>
    <col min="15" max="15" width="15.5703125" customWidth="1"/>
  </cols>
  <sheetData>
    <row r="1" spans="1:18" x14ac:dyDescent="0.25">
      <c r="C1" s="37" t="s">
        <v>32</v>
      </c>
      <c r="D1" s="37"/>
      <c r="F1" s="37" t="s">
        <v>33</v>
      </c>
      <c r="G1" s="37"/>
      <c r="I1" s="37" t="s">
        <v>34</v>
      </c>
      <c r="J1" s="37"/>
      <c r="L1" s="37" t="s">
        <v>35</v>
      </c>
      <c r="M1" s="37"/>
    </row>
    <row r="2" spans="1:18" ht="30" x14ac:dyDescent="0.25">
      <c r="A2" s="10" t="s">
        <v>40</v>
      </c>
      <c r="B2" s="12" t="s">
        <v>16</v>
      </c>
      <c r="C2" s="8" t="s">
        <v>21</v>
      </c>
      <c r="D2" s="8" t="s">
        <v>22</v>
      </c>
      <c r="E2" s="13" t="s">
        <v>46</v>
      </c>
      <c r="F2" s="8" t="s">
        <v>23</v>
      </c>
      <c r="G2" s="8" t="s">
        <v>24</v>
      </c>
      <c r="H2" s="6" t="s">
        <v>47</v>
      </c>
      <c r="I2" s="8" t="s">
        <v>25</v>
      </c>
      <c r="J2" s="8" t="s">
        <v>50</v>
      </c>
      <c r="K2" s="6" t="s">
        <v>48</v>
      </c>
      <c r="L2" s="8" t="s">
        <v>26</v>
      </c>
      <c r="M2" s="8" t="s">
        <v>27</v>
      </c>
      <c r="N2" s="6" t="s">
        <v>49</v>
      </c>
      <c r="O2" s="9" t="s">
        <v>36</v>
      </c>
    </row>
    <row r="3" spans="1:18" x14ac:dyDescent="0.25">
      <c r="A3" s="4">
        <v>1</v>
      </c>
      <c r="B3" s="11" t="str">
        <f>'RAZONES FINANCIERAS'!A3</f>
        <v>ALSEA</v>
      </c>
      <c r="C3" s="1">
        <f>'RAZONES FINANCIERAS'!B18</f>
        <v>-0.40254065973702152</v>
      </c>
      <c r="D3" s="1">
        <f>'RAZONES FINANCIERAS'!C18</f>
        <v>7.7392340899305634E-2</v>
      </c>
      <c r="E3" s="14">
        <f>'RAZONES FINANCIERAS'!D18</f>
        <v>-0.32514831883771589</v>
      </c>
      <c r="F3" s="14">
        <f>'RAZONES FINANCIERAS'!E18</f>
        <v>6</v>
      </c>
      <c r="G3" s="14">
        <f>'RAZONES FINANCIERAS'!F18</f>
        <v>0.17330176705809675</v>
      </c>
      <c r="H3" s="14">
        <f>'RAZONES FINANCIERAS'!G18</f>
        <v>6.1733017670580965</v>
      </c>
      <c r="I3" s="14">
        <f>'RAZONES FINANCIERAS'!H18</f>
        <v>6.5</v>
      </c>
      <c r="J3" s="14">
        <f>'RAZONES FINANCIERAS'!I18</f>
        <v>1.4990201728958596</v>
      </c>
      <c r="K3" s="14">
        <f>'RAZONES FINANCIERAS'!J18</f>
        <v>7.9990201728958592</v>
      </c>
      <c r="L3" s="14">
        <f>'RAZONES FINANCIERAS'!K18</f>
        <v>0.96570408521065987</v>
      </c>
      <c r="M3" s="14">
        <f>'RAZONES FINANCIERAS'!L18</f>
        <v>3</v>
      </c>
      <c r="N3" s="14">
        <f>'RAZONES FINANCIERAS'!M18</f>
        <v>3.96570408521066</v>
      </c>
      <c r="O3" s="15">
        <f>'RAZONES FINANCIERAS'!N18</f>
        <v>5.2005675034455194</v>
      </c>
    </row>
    <row r="4" spans="1:18" x14ac:dyDescent="0.25">
      <c r="A4" s="4">
        <v>2</v>
      </c>
      <c r="B4" s="11" t="str">
        <f>'RAZONES FINANCIERAS'!A5</f>
        <v>PEMEX</v>
      </c>
      <c r="C4" s="1">
        <f>'RAZONES FINANCIERAS'!B20</f>
        <v>3.290185268404731</v>
      </c>
      <c r="D4" s="1">
        <f>'RAZONES FINANCIERAS'!C20</f>
        <v>2.4605058406586537</v>
      </c>
      <c r="E4" s="14">
        <f>'RAZONES FINANCIERAS'!D20</f>
        <v>5.7506911090633848</v>
      </c>
      <c r="F4" s="14">
        <f>'RAZONES FINANCIERAS'!E20</f>
        <v>-0.27311105546628384</v>
      </c>
      <c r="G4" s="14">
        <f>'RAZONES FINANCIERAS'!F20</f>
        <v>4</v>
      </c>
      <c r="H4" s="14">
        <f>'RAZONES FINANCIERAS'!G20</f>
        <v>3.7268889445337163</v>
      </c>
      <c r="I4" s="14">
        <f>'RAZONES FINANCIERAS'!H20</f>
        <v>0.14549085173429327</v>
      </c>
      <c r="J4" s="14">
        <f>'RAZONES FINANCIERAS'!I20</f>
        <v>-17.013700253191622</v>
      </c>
      <c r="K4" s="14">
        <f>'RAZONES FINANCIERAS'!J20</f>
        <v>-16.868209401457328</v>
      </c>
      <c r="L4" s="14">
        <f>'RAZONES FINANCIERAS'!K20</f>
        <v>1.5628954736701359</v>
      </c>
      <c r="M4" s="14">
        <f>'RAZONES FINANCIERAS'!L20</f>
        <v>2.9910868207440298E-2</v>
      </c>
      <c r="N4" s="14">
        <f>'RAZONES FINANCIERAS'!M20</f>
        <v>1.5928063418775762</v>
      </c>
      <c r="O4" s="15">
        <f>'RAZONES FINANCIERAS'!N20</f>
        <v>-2.260288386623277</v>
      </c>
    </row>
    <row r="5" spans="1:18" x14ac:dyDescent="0.25">
      <c r="A5" s="4">
        <v>3</v>
      </c>
      <c r="B5" s="11" t="str">
        <f>'RAZONES FINANCIERAS'!A7</f>
        <v>WALMEX</v>
      </c>
      <c r="C5" s="1">
        <f>'RAZONES FINANCIERAS'!B22</f>
        <v>1.4643633384381554</v>
      </c>
      <c r="D5" s="1">
        <f>'RAZONES FINANCIERAS'!C22</f>
        <v>2.047289313880837</v>
      </c>
      <c r="E5" s="14">
        <f>'RAZONES FINANCIERAS'!D22</f>
        <v>3.5116526523189924</v>
      </c>
      <c r="F5" s="14">
        <f>'RAZONES FINANCIERAS'!E22</f>
        <v>0.475167410584869</v>
      </c>
      <c r="G5" s="14">
        <f>'RAZONES FINANCIERAS'!F22</f>
        <v>0.57204373581423373</v>
      </c>
      <c r="H5" s="14">
        <f>'RAZONES FINANCIERAS'!G22</f>
        <v>1.0472111463991027</v>
      </c>
      <c r="I5" s="14">
        <f>'RAZONES FINANCIERAS'!H22</f>
        <v>5.3953212600546745E-2</v>
      </c>
      <c r="J5" s="14">
        <f>'RAZONES FINANCIERAS'!I22</f>
        <v>0.51861166016239924</v>
      </c>
      <c r="K5" s="14">
        <f>'RAZONES FINANCIERAS'!J22</f>
        <v>0.57256487276294599</v>
      </c>
      <c r="L5" s="14">
        <f>'RAZONES FINANCIERAS'!K22</f>
        <v>0.74812490179616464</v>
      </c>
      <c r="M5" s="14">
        <f>'RAZONES FINANCIERAS'!L22</f>
        <v>6.5014165798730164E-2</v>
      </c>
      <c r="N5" s="14">
        <f>'RAZONES FINANCIERAS'!M22</f>
        <v>0.81313906759489485</v>
      </c>
      <c r="O5" s="15">
        <f>'RAZONES FINANCIERAS'!N22</f>
        <v>1.3742983576118131</v>
      </c>
    </row>
    <row r="6" spans="1:18" x14ac:dyDescent="0.25">
      <c r="A6" s="4">
        <v>4</v>
      </c>
      <c r="B6" s="11" t="str">
        <f>'RAZONES FINANCIERAS'!A4</f>
        <v>VOLARIS</v>
      </c>
      <c r="C6" s="1">
        <f>'RAZONES FINANCIERAS'!B19</f>
        <v>1.1795765238801803</v>
      </c>
      <c r="D6" s="1">
        <f>'RAZONES FINANCIERAS'!C19</f>
        <v>0.83365370863179611</v>
      </c>
      <c r="E6" s="14">
        <f>'RAZONES FINANCIERAS'!D19</f>
        <v>2.0132302325119764</v>
      </c>
      <c r="F6" s="14">
        <f>'RAZONES FINANCIERAS'!E19</f>
        <v>0.13705673805450966</v>
      </c>
      <c r="G6" s="14">
        <f>'RAZONES FINANCIERAS'!F19</f>
        <v>0.53439018175883146</v>
      </c>
      <c r="H6" s="14">
        <f>'RAZONES FINANCIERAS'!G19</f>
        <v>0.67144691981334115</v>
      </c>
      <c r="I6" s="14">
        <f>'RAZONES FINANCIERAS'!H19</f>
        <v>0.11242621385812479</v>
      </c>
      <c r="J6" s="14">
        <f>'RAZONES FINANCIERAS'!I19</f>
        <v>3.5</v>
      </c>
      <c r="K6" s="14">
        <f>'RAZONES FINANCIERAS'!J19</f>
        <v>3.6124262138581247</v>
      </c>
      <c r="L6" s="14">
        <f>'RAZONES FINANCIERAS'!K19</f>
        <v>7</v>
      </c>
      <c r="M6" s="14">
        <f>'RAZONES FINANCIERAS'!L19</f>
        <v>7.4926943375486138E-2</v>
      </c>
      <c r="N6" s="14">
        <f>'RAZONES FINANCIERAS'!M19</f>
        <v>7.0749269433754858</v>
      </c>
      <c r="O6" s="15">
        <f>'RAZONES FINANCIERAS'!N19</f>
        <v>2.4624453729227174</v>
      </c>
    </row>
    <row r="7" spans="1:18" x14ac:dyDescent="0.25">
      <c r="A7" s="4">
        <v>5</v>
      </c>
      <c r="B7" s="11" t="str">
        <f>'RAZONES FINANCIERAS'!A9</f>
        <v>TELEVISA</v>
      </c>
      <c r="C7" s="1">
        <f>'RAZONES FINANCIERAS'!B24</f>
        <v>4.6079246812228458</v>
      </c>
      <c r="D7" s="1">
        <f>'RAZONES FINANCIERAS'!C24</f>
        <v>3.1391383800376067</v>
      </c>
      <c r="E7" s="14">
        <f>'RAZONES FINANCIERAS'!D24</f>
        <v>7.7470630612604525</v>
      </c>
      <c r="F7" s="14">
        <f>'RAZONES FINANCIERAS'!E24</f>
        <v>0.16828474454688125</v>
      </c>
      <c r="G7" s="14">
        <f>'RAZONES FINANCIERAS'!F24</f>
        <v>0.34978845108635714</v>
      </c>
      <c r="H7" s="14">
        <f>'RAZONES FINANCIERAS'!G24</f>
        <v>0.51807319563323839</v>
      </c>
      <c r="I7" s="14">
        <f>'RAZONES FINANCIERAS'!H24</f>
        <v>8.9555304546695622E-2</v>
      </c>
      <c r="J7" s="14">
        <f>'RAZONES FINANCIERAS'!I24</f>
        <v>1.4862587133691099</v>
      </c>
      <c r="K7" s="14">
        <f>'RAZONES FINANCIERAS'!J24</f>
        <v>1.5758140179158056</v>
      </c>
      <c r="L7" s="14">
        <f>'RAZONES FINANCIERAS'!K24</f>
        <v>2.9811466303509691</v>
      </c>
      <c r="M7" s="14">
        <f>'RAZONES FINANCIERAS'!L24</f>
        <v>1.1435382344091938E-2</v>
      </c>
      <c r="N7" s="14">
        <f>'RAZONES FINANCIERAS'!M24</f>
        <v>2.9925820126950611</v>
      </c>
      <c r="O7" s="15">
        <f>'RAZONES FINANCIERAS'!N24</f>
        <v>2.5286442971496337</v>
      </c>
    </row>
    <row r="8" spans="1:18" x14ac:dyDescent="0.25">
      <c r="A8" s="4">
        <v>6</v>
      </c>
      <c r="B8" s="11" t="str">
        <f>'RAZONES FINANCIERAS'!A12</f>
        <v>HERDEZ</v>
      </c>
      <c r="C8" s="1">
        <f>'RAZONES FINANCIERAS'!B27</f>
        <v>3.6540653855298246</v>
      </c>
      <c r="D8" s="1">
        <f>'RAZONES FINANCIERAS'!C27</f>
        <v>4.0287359772776945</v>
      </c>
      <c r="E8" s="14">
        <f>'RAZONES FINANCIERAS'!D27</f>
        <v>7.6828013628075187</v>
      </c>
      <c r="F8" s="14">
        <f>'RAZONES FINANCIERAS'!E27</f>
        <v>0.20352753549059874</v>
      </c>
      <c r="G8" s="14">
        <f>'RAZONES FINANCIERAS'!F27</f>
        <v>0.26249138799507576</v>
      </c>
      <c r="H8" s="14">
        <f>'RAZONES FINANCIERAS'!G27</f>
        <v>0.46601892348567453</v>
      </c>
      <c r="I8" s="14">
        <f>'RAZONES FINANCIERAS'!H27</f>
        <v>5.9594695809095592E-2</v>
      </c>
      <c r="J8" s="14">
        <f>'RAZONES FINANCIERAS'!I27</f>
        <v>0.61367986331486335</v>
      </c>
      <c r="K8" s="14">
        <f>'RAZONES FINANCIERAS'!J27</f>
        <v>0.67327455912395895</v>
      </c>
      <c r="L8" s="14">
        <f>'RAZONES FINANCIERAS'!K27</f>
        <v>0.40380685876448391</v>
      </c>
      <c r="M8" s="14">
        <f>'RAZONES FINANCIERAS'!L27</f>
        <v>2.4498968283333471E-2</v>
      </c>
      <c r="N8" s="14">
        <f>'RAZONES FINANCIERAS'!M27</f>
        <v>0.42830582704781739</v>
      </c>
      <c r="O8" s="15">
        <f>'RAZONES FINANCIERAS'!N27</f>
        <v>1.9677807923977431</v>
      </c>
    </row>
    <row r="9" spans="1:18" x14ac:dyDescent="0.25">
      <c r="A9" s="4">
        <v>7</v>
      </c>
      <c r="B9" s="11" t="str">
        <f>'RAZONES FINANCIERAS'!A10</f>
        <v>FEMSA</v>
      </c>
      <c r="C9" s="1">
        <f>'RAZONES FINANCIERAS'!B25</f>
        <v>2.5476912608183531</v>
      </c>
      <c r="D9" s="1">
        <f>'RAZONES FINANCIERAS'!C25</f>
        <v>2.3369253697322385</v>
      </c>
      <c r="E9" s="14">
        <f>'RAZONES FINANCIERAS'!D25</f>
        <v>4.8846166305505916</v>
      </c>
      <c r="F9" s="14">
        <f>'RAZONES FINANCIERAS'!E25</f>
        <v>0.19139182308368169</v>
      </c>
      <c r="G9" s="14">
        <f>'RAZONES FINANCIERAS'!F25</f>
        <v>0.2681732523322376</v>
      </c>
      <c r="H9" s="14">
        <f>'RAZONES FINANCIERAS'!G25</f>
        <v>0.45956507541591929</v>
      </c>
      <c r="I9" s="14">
        <f>'RAZONES FINANCIERAS'!H25</f>
        <v>6.5874791482886316E-2</v>
      </c>
      <c r="J9" s="14">
        <f>'RAZONES FINANCIERAS'!I25</f>
        <v>0.73697662502054873</v>
      </c>
      <c r="K9" s="14">
        <f>'RAZONES FINANCIERAS'!J25</f>
        <v>0.80285141650343506</v>
      </c>
      <c r="L9" s="14">
        <f>'RAZONES FINANCIERAS'!K25</f>
        <v>0.80880132464763987</v>
      </c>
      <c r="M9" s="14">
        <f>'RAZONES FINANCIERAS'!L25</f>
        <v>2.6764852558138399E-2</v>
      </c>
      <c r="N9" s="14">
        <f>'RAZONES FINANCIERAS'!M25</f>
        <v>0.8355661772057783</v>
      </c>
      <c r="O9" s="15">
        <f>'RAZONES FINANCIERAS'!N25</f>
        <v>1.4851613989480945</v>
      </c>
    </row>
    <row r="10" spans="1:18" x14ac:dyDescent="0.25">
      <c r="A10" s="4">
        <v>8</v>
      </c>
      <c r="B10" s="11" t="str">
        <f>'RAZONES FINANCIERAS'!A11</f>
        <v>LALA</v>
      </c>
      <c r="C10" s="1">
        <f>'RAZONES FINANCIERAS'!B26</f>
        <v>5.5</v>
      </c>
      <c r="D10" s="1">
        <f>'RAZONES FINANCIERAS'!C26</f>
        <v>4.5</v>
      </c>
      <c r="E10" s="14">
        <f>'RAZONES FINANCIERAS'!D26</f>
        <v>10</v>
      </c>
      <c r="F10" s="14">
        <f>'RAZONES FINANCIERAS'!E26</f>
        <v>0.11427695079481587</v>
      </c>
      <c r="G10" s="14">
        <f>'RAZONES FINANCIERAS'!F26</f>
        <v>0.11478540486166518</v>
      </c>
      <c r="H10" s="14">
        <f>'RAZONES FINANCIERAS'!G26</f>
        <v>0.22906235565648103</v>
      </c>
      <c r="I10" s="14">
        <f>'RAZONES FINANCIERAS'!H26</f>
        <v>3.7174749660425138E-2</v>
      </c>
      <c r="J10" s="14">
        <f>'RAZONES FINANCIERAS'!I26</f>
        <v>0.29813877268919853</v>
      </c>
      <c r="K10" s="14">
        <f>'RAZONES FINANCIERAS'!J26</f>
        <v>0.33531352234962364</v>
      </c>
      <c r="L10" s="14">
        <f>'RAZONES FINANCIERAS'!K26</f>
        <v>0.24254722550998739</v>
      </c>
      <c r="M10" s="14">
        <f>'RAZONES FINANCIERAS'!L26</f>
        <v>1.35346077087881E-2</v>
      </c>
      <c r="N10" s="14">
        <f>'RAZONES FINANCIERAS'!M26</f>
        <v>0.25608183321877548</v>
      </c>
      <c r="O10" s="15">
        <f>'RAZONES FINANCIERAS'!N26</f>
        <v>2.2178271822893572</v>
      </c>
    </row>
    <row r="11" spans="1:18" x14ac:dyDescent="0.25">
      <c r="A11" s="4">
        <v>9</v>
      </c>
      <c r="B11" s="11" t="str">
        <f>'RAZONES FINANCIERAS'!A8</f>
        <v>AXTEL</v>
      </c>
      <c r="C11" s="1">
        <f>'RAZONES FINANCIERAS'!B23</f>
        <v>3.373367577340463</v>
      </c>
      <c r="D11" s="1">
        <f>'RAZONES FINANCIERAS'!C23</f>
        <v>2.3011992758605699</v>
      </c>
      <c r="E11" s="14">
        <f>'RAZONES FINANCIERAS'!D23</f>
        <v>5.6745668532010329</v>
      </c>
      <c r="F11" s="14">
        <f>'RAZONES FINANCIERAS'!E23</f>
        <v>-3.4063023096154013E-2</v>
      </c>
      <c r="G11" s="14">
        <f>'RAZONES FINANCIERAS'!F23</f>
        <v>-9.2071416043650656E-2</v>
      </c>
      <c r="H11" s="14">
        <f>'RAZONES FINANCIERAS'!G23</f>
        <v>-0.12613443913980465</v>
      </c>
      <c r="I11" s="14">
        <f>'RAZONES FINANCIERAS'!H23</f>
        <v>0.10087119641306423</v>
      </c>
      <c r="J11" s="14">
        <f>'RAZONES FINANCIERAS'!I23</f>
        <v>2.1769636910223613</v>
      </c>
      <c r="K11" s="14">
        <f>'RAZONES FINANCIERAS'!J23</f>
        <v>2.2778348874354255</v>
      </c>
      <c r="L11" s="14">
        <f>'RAZONES FINANCIERAS'!K23</f>
        <v>2.8230235541091369</v>
      </c>
      <c r="M11" s="14">
        <f>'RAZONES FINANCIERAS'!L23</f>
        <v>7.6238628639796284E-4</v>
      </c>
      <c r="N11" s="14">
        <f>'RAZONES FINANCIERAS'!M23</f>
        <v>2.8237859403955348</v>
      </c>
      <c r="O11" s="15">
        <f>'RAZONES FINANCIERAS'!N23</f>
        <v>2.0501886552544661</v>
      </c>
    </row>
    <row r="12" spans="1:18" x14ac:dyDescent="0.25">
      <c r="A12" s="4">
        <v>10</v>
      </c>
      <c r="B12" s="7" t="str">
        <f>'RAZONES FINANCIERAS'!A6</f>
        <v>ELEKTRA</v>
      </c>
      <c r="C12" s="5">
        <f>'RAZONES FINANCIERAS'!B21</f>
        <v>3.2614546157505337</v>
      </c>
      <c r="D12" s="5">
        <f>'RAZONES FINANCIERAS'!C21</f>
        <v>2.3114139873658104</v>
      </c>
      <c r="E12" s="16">
        <f>'RAZONES FINANCIERAS'!D21</f>
        <v>5.5728686031163441</v>
      </c>
      <c r="F12" s="16">
        <f>'RAZONES FINANCIERAS'!E21</f>
        <v>-0.44715782081911415</v>
      </c>
      <c r="G12" s="16">
        <f>'RAZONES FINANCIERAS'!F21</f>
        <v>-1.1930881682649996</v>
      </c>
      <c r="H12" s="16">
        <f>'RAZONES FINANCIERAS'!G21</f>
        <v>-1.6402459890841139</v>
      </c>
      <c r="I12" s="16">
        <f>'RAZONES FINANCIERAS'!H21</f>
        <v>0.10037971386789267</v>
      </c>
      <c r="J12" s="16">
        <f>'RAZONES FINANCIERAS'!I21</f>
        <v>2.1384546339141153</v>
      </c>
      <c r="K12" s="16">
        <f>'RAZONES FINANCIERAS'!J21</f>
        <v>2.2388343477820078</v>
      </c>
      <c r="L12" s="16">
        <f>'RAZONES FINANCIERAS'!K21</f>
        <v>0.43177495676846517</v>
      </c>
      <c r="M12" s="16">
        <f>'RAZONES FINANCIERAS'!L21</f>
        <v>1.5461250987717489E-2</v>
      </c>
      <c r="N12" s="16">
        <f>'RAZONES FINANCIERAS'!M21</f>
        <v>0.44723620775618267</v>
      </c>
      <c r="O12" s="17">
        <f>'RAZONES FINANCIERAS'!N21</f>
        <v>1.174849250099844</v>
      </c>
    </row>
    <row r="16" spans="1:18" x14ac:dyDescent="0.25">
      <c r="M16" s="2"/>
      <c r="N16" s="2"/>
      <c r="O16" s="2"/>
      <c r="P16" s="2"/>
      <c r="Q16" s="2"/>
      <c r="R16" s="2"/>
    </row>
    <row r="17" spans="13:18" x14ac:dyDescent="0.25">
      <c r="M17" s="2"/>
      <c r="N17" s="2"/>
      <c r="O17" s="2"/>
      <c r="P17" s="2"/>
      <c r="Q17" s="2"/>
      <c r="R17" s="2"/>
    </row>
    <row r="18" spans="13:18" x14ac:dyDescent="0.25">
      <c r="M18" s="2"/>
      <c r="N18" s="2"/>
      <c r="O18" s="2"/>
      <c r="P18" s="2"/>
      <c r="Q18" s="2"/>
      <c r="R18" s="2"/>
    </row>
    <row r="19" spans="13:18" x14ac:dyDescent="0.25">
      <c r="M19" s="2"/>
      <c r="N19" s="2"/>
      <c r="O19" s="2"/>
      <c r="P19" s="2"/>
      <c r="Q19" s="2"/>
      <c r="R19" s="2"/>
    </row>
    <row r="20" spans="13:18" x14ac:dyDescent="0.25">
      <c r="M20" s="2"/>
      <c r="N20" s="2"/>
      <c r="O20" s="2"/>
      <c r="P20" s="2"/>
      <c r="Q20" s="2"/>
      <c r="R20" s="2"/>
    </row>
    <row r="21" spans="13:18" x14ac:dyDescent="0.25">
      <c r="M21" s="2"/>
      <c r="N21" s="2"/>
      <c r="O21" s="2"/>
      <c r="P21" s="2"/>
      <c r="Q21" s="2"/>
      <c r="R21" s="2"/>
    </row>
    <row r="22" spans="13:18" x14ac:dyDescent="0.25">
      <c r="M22" s="2"/>
      <c r="N22" s="2"/>
      <c r="O22" s="2"/>
      <c r="P22" s="2"/>
      <c r="Q22" s="2"/>
      <c r="R22" s="2"/>
    </row>
    <row r="23" spans="13:18" x14ac:dyDescent="0.25">
      <c r="M23" s="2"/>
      <c r="N23" s="2"/>
      <c r="O23" s="2"/>
      <c r="P23" s="2"/>
      <c r="Q23" s="2"/>
      <c r="R23" s="2"/>
    </row>
    <row r="24" spans="13:18" x14ac:dyDescent="0.25">
      <c r="M24" s="2"/>
      <c r="N24" s="2"/>
      <c r="O24" s="2"/>
      <c r="P24" s="2"/>
      <c r="Q24" s="2"/>
      <c r="R24" s="2"/>
    </row>
    <row r="25" spans="13:18" x14ac:dyDescent="0.25">
      <c r="M25" s="2"/>
      <c r="N25" s="2"/>
      <c r="O25" s="2"/>
      <c r="P25" s="2"/>
      <c r="Q25" s="2"/>
      <c r="R25" s="2"/>
    </row>
  </sheetData>
  <mergeCells count="4">
    <mergeCell ref="C1:D1"/>
    <mergeCell ref="F1:G1"/>
    <mergeCell ref="I1:J1"/>
    <mergeCell ref="L1:M1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5"/>
  <sheetViews>
    <sheetView showGridLines="0" topLeftCell="A5" workbookViewId="0"/>
  </sheetViews>
  <sheetFormatPr baseColWidth="10" defaultRowHeight="15" x14ac:dyDescent="0.25"/>
  <cols>
    <col min="1" max="1" width="3.85546875" customWidth="1"/>
    <col min="2" max="2" width="25" customWidth="1"/>
    <col min="3" max="3" width="11.42578125" hidden="1" customWidth="1"/>
    <col min="4" max="4" width="14" hidden="1" customWidth="1"/>
    <col min="5" max="5" width="12" customWidth="1"/>
    <col min="6" max="7" width="11.42578125" hidden="1" customWidth="1"/>
    <col min="8" max="8" width="11.5703125" customWidth="1"/>
    <col min="9" max="10" width="11.42578125" hidden="1" customWidth="1"/>
    <col min="11" max="11" width="13.5703125" customWidth="1"/>
    <col min="12" max="12" width="15.28515625" hidden="1" customWidth="1"/>
    <col min="13" max="13" width="13.140625" hidden="1" customWidth="1"/>
    <col min="14" max="14" width="14.140625" customWidth="1"/>
    <col min="15" max="15" width="15.5703125" customWidth="1"/>
  </cols>
  <sheetData>
    <row r="1" spans="1:18" x14ac:dyDescent="0.25">
      <c r="C1" s="37" t="s">
        <v>32</v>
      </c>
      <c r="D1" s="37"/>
      <c r="F1" s="37" t="s">
        <v>33</v>
      </c>
      <c r="G1" s="37"/>
      <c r="I1" s="37" t="s">
        <v>34</v>
      </c>
      <c r="J1" s="37"/>
      <c r="L1" s="37" t="s">
        <v>35</v>
      </c>
      <c r="M1" s="37"/>
    </row>
    <row r="2" spans="1:18" ht="30" x14ac:dyDescent="0.25">
      <c r="A2" s="10" t="s">
        <v>40</v>
      </c>
      <c r="B2" s="12" t="s">
        <v>16</v>
      </c>
      <c r="C2" s="8" t="s">
        <v>21</v>
      </c>
      <c r="D2" s="8" t="s">
        <v>22</v>
      </c>
      <c r="E2" s="13" t="s">
        <v>46</v>
      </c>
      <c r="F2" s="8" t="s">
        <v>23</v>
      </c>
      <c r="G2" s="8" t="s">
        <v>24</v>
      </c>
      <c r="H2" s="6" t="s">
        <v>47</v>
      </c>
      <c r="I2" s="8" t="s">
        <v>25</v>
      </c>
      <c r="J2" s="8" t="s">
        <v>50</v>
      </c>
      <c r="K2" s="6" t="s">
        <v>48</v>
      </c>
      <c r="L2" s="8" t="s">
        <v>26</v>
      </c>
      <c r="M2" s="8" t="s">
        <v>27</v>
      </c>
      <c r="N2" s="6" t="s">
        <v>49</v>
      </c>
      <c r="O2" s="9" t="s">
        <v>36</v>
      </c>
    </row>
    <row r="3" spans="1:18" x14ac:dyDescent="0.25">
      <c r="A3" s="4">
        <v>1</v>
      </c>
      <c r="B3" s="11" t="str">
        <f>'RAZONES FINANCIERAS'!A3</f>
        <v>ALSEA</v>
      </c>
      <c r="C3" s="1">
        <f>'RAZONES FINANCIERAS'!B18</f>
        <v>-0.40254065973702152</v>
      </c>
      <c r="D3" s="1">
        <f>'RAZONES FINANCIERAS'!C18</f>
        <v>7.7392340899305634E-2</v>
      </c>
      <c r="E3" s="14">
        <f>'RAZONES FINANCIERAS'!D18</f>
        <v>-0.32514831883771589</v>
      </c>
      <c r="F3" s="14">
        <f>'RAZONES FINANCIERAS'!E18</f>
        <v>6</v>
      </c>
      <c r="G3" s="14">
        <f>'RAZONES FINANCIERAS'!F18</f>
        <v>0.17330176705809675</v>
      </c>
      <c r="H3" s="14">
        <f>'RAZONES FINANCIERAS'!G18</f>
        <v>6.1733017670580965</v>
      </c>
      <c r="I3" s="14">
        <f>'RAZONES FINANCIERAS'!H18</f>
        <v>6.5</v>
      </c>
      <c r="J3" s="14">
        <f>'RAZONES FINANCIERAS'!I18</f>
        <v>1.4990201728958596</v>
      </c>
      <c r="K3" s="14">
        <f>'RAZONES FINANCIERAS'!J18</f>
        <v>7.9990201728958592</v>
      </c>
      <c r="L3" s="14">
        <f>'RAZONES FINANCIERAS'!K18</f>
        <v>0.96570408521065987</v>
      </c>
      <c r="M3" s="14">
        <f>'RAZONES FINANCIERAS'!L18</f>
        <v>3</v>
      </c>
      <c r="N3" s="14">
        <f>'RAZONES FINANCIERAS'!M18</f>
        <v>3.96570408521066</v>
      </c>
      <c r="O3" s="15">
        <f>'RAZONES FINANCIERAS'!N18</f>
        <v>5.2005675034455194</v>
      </c>
    </row>
    <row r="4" spans="1:18" x14ac:dyDescent="0.25">
      <c r="A4" s="4">
        <v>2</v>
      </c>
      <c r="B4" s="11" t="str">
        <f>'RAZONES FINANCIERAS'!A4</f>
        <v>VOLARIS</v>
      </c>
      <c r="C4" s="1">
        <f>'RAZONES FINANCIERAS'!B19</f>
        <v>1.1795765238801803</v>
      </c>
      <c r="D4" s="1">
        <f>'RAZONES FINANCIERAS'!C19</f>
        <v>0.83365370863179611</v>
      </c>
      <c r="E4" s="14">
        <f>'RAZONES FINANCIERAS'!D19</f>
        <v>2.0132302325119764</v>
      </c>
      <c r="F4" s="14">
        <f>'RAZONES FINANCIERAS'!E19</f>
        <v>0.13705673805450966</v>
      </c>
      <c r="G4" s="14">
        <f>'RAZONES FINANCIERAS'!F19</f>
        <v>0.53439018175883146</v>
      </c>
      <c r="H4" s="14">
        <f>'RAZONES FINANCIERAS'!G19</f>
        <v>0.67144691981334115</v>
      </c>
      <c r="I4" s="14">
        <f>'RAZONES FINANCIERAS'!H19</f>
        <v>0.11242621385812479</v>
      </c>
      <c r="J4" s="14">
        <f>'RAZONES FINANCIERAS'!I19</f>
        <v>3.5</v>
      </c>
      <c r="K4" s="14">
        <f>'RAZONES FINANCIERAS'!J19</f>
        <v>3.6124262138581247</v>
      </c>
      <c r="L4" s="14">
        <f>'RAZONES FINANCIERAS'!K19</f>
        <v>7</v>
      </c>
      <c r="M4" s="14">
        <f>'RAZONES FINANCIERAS'!L19</f>
        <v>7.4926943375486138E-2</v>
      </c>
      <c r="N4" s="14">
        <f>'RAZONES FINANCIERAS'!M19</f>
        <v>7.0749269433754858</v>
      </c>
      <c r="O4" s="15">
        <f>'RAZONES FINANCIERAS'!N19</f>
        <v>2.4624453729227174</v>
      </c>
    </row>
    <row r="5" spans="1:18" x14ac:dyDescent="0.25">
      <c r="A5" s="4">
        <v>3</v>
      </c>
      <c r="B5" s="11" t="str">
        <f>'RAZONES FINANCIERAS'!A8</f>
        <v>AXTEL</v>
      </c>
      <c r="C5" s="1">
        <f>'RAZONES FINANCIERAS'!B23</f>
        <v>3.373367577340463</v>
      </c>
      <c r="D5" s="1">
        <f>'RAZONES FINANCIERAS'!C23</f>
        <v>2.3011992758605699</v>
      </c>
      <c r="E5" s="14">
        <f>'RAZONES FINANCIERAS'!D23</f>
        <v>5.6745668532010329</v>
      </c>
      <c r="F5" s="14">
        <f>'RAZONES FINANCIERAS'!E23</f>
        <v>-3.4063023096154013E-2</v>
      </c>
      <c r="G5" s="14">
        <f>'RAZONES FINANCIERAS'!F23</f>
        <v>-9.2071416043650656E-2</v>
      </c>
      <c r="H5" s="14">
        <f>'RAZONES FINANCIERAS'!G23</f>
        <v>-0.12613443913980465</v>
      </c>
      <c r="I5" s="14">
        <f>'RAZONES FINANCIERAS'!H23</f>
        <v>0.10087119641306423</v>
      </c>
      <c r="J5" s="14">
        <f>'RAZONES FINANCIERAS'!I23</f>
        <v>2.1769636910223613</v>
      </c>
      <c r="K5" s="14">
        <f>'RAZONES FINANCIERAS'!J23</f>
        <v>2.2778348874354255</v>
      </c>
      <c r="L5" s="14">
        <f>'RAZONES FINANCIERAS'!K23</f>
        <v>2.8230235541091369</v>
      </c>
      <c r="M5" s="14">
        <f>'RAZONES FINANCIERAS'!L23</f>
        <v>7.6238628639796284E-4</v>
      </c>
      <c r="N5" s="14">
        <f>'RAZONES FINANCIERAS'!M23</f>
        <v>2.8237859403955348</v>
      </c>
      <c r="O5" s="15">
        <f>'RAZONES FINANCIERAS'!N23</f>
        <v>2.0501886552544661</v>
      </c>
    </row>
    <row r="6" spans="1:18" x14ac:dyDescent="0.25">
      <c r="A6" s="4">
        <v>4</v>
      </c>
      <c r="B6" s="11" t="str">
        <f>'RAZONES FINANCIERAS'!A6</f>
        <v>ELEKTRA</v>
      </c>
      <c r="C6" s="1">
        <f>'RAZONES FINANCIERAS'!B21</f>
        <v>3.2614546157505337</v>
      </c>
      <c r="D6" s="1">
        <f>'RAZONES FINANCIERAS'!C21</f>
        <v>2.3114139873658104</v>
      </c>
      <c r="E6" s="14">
        <f>'RAZONES FINANCIERAS'!D21</f>
        <v>5.5728686031163441</v>
      </c>
      <c r="F6" s="14">
        <f>'RAZONES FINANCIERAS'!E21</f>
        <v>-0.44715782081911415</v>
      </c>
      <c r="G6" s="14">
        <f>'RAZONES FINANCIERAS'!F21</f>
        <v>-1.1930881682649996</v>
      </c>
      <c r="H6" s="14">
        <f>'RAZONES FINANCIERAS'!G21</f>
        <v>-1.6402459890841139</v>
      </c>
      <c r="I6" s="14">
        <f>'RAZONES FINANCIERAS'!H21</f>
        <v>0.10037971386789267</v>
      </c>
      <c r="J6" s="14">
        <f>'RAZONES FINANCIERAS'!I21</f>
        <v>2.1384546339141153</v>
      </c>
      <c r="K6" s="14">
        <f>'RAZONES FINANCIERAS'!J21</f>
        <v>2.2388343477820078</v>
      </c>
      <c r="L6" s="14">
        <f>'RAZONES FINANCIERAS'!K21</f>
        <v>0.43177495676846517</v>
      </c>
      <c r="M6" s="14">
        <f>'RAZONES FINANCIERAS'!L21</f>
        <v>1.5461250987717489E-2</v>
      </c>
      <c r="N6" s="14">
        <f>'RAZONES FINANCIERAS'!M21</f>
        <v>0.44723620775618267</v>
      </c>
      <c r="O6" s="15">
        <f>'RAZONES FINANCIERAS'!N21</f>
        <v>1.174849250099844</v>
      </c>
    </row>
    <row r="7" spans="1:18" x14ac:dyDescent="0.25">
      <c r="A7" s="4">
        <v>5</v>
      </c>
      <c r="B7" s="11" t="str">
        <f>'RAZONES FINANCIERAS'!A9</f>
        <v>TELEVISA</v>
      </c>
      <c r="C7" s="1">
        <f>'RAZONES FINANCIERAS'!B24</f>
        <v>4.6079246812228458</v>
      </c>
      <c r="D7" s="1">
        <f>'RAZONES FINANCIERAS'!C24</f>
        <v>3.1391383800376067</v>
      </c>
      <c r="E7" s="14">
        <f>'RAZONES FINANCIERAS'!D24</f>
        <v>7.7470630612604525</v>
      </c>
      <c r="F7" s="14">
        <f>'RAZONES FINANCIERAS'!E24</f>
        <v>0.16828474454688125</v>
      </c>
      <c r="G7" s="14">
        <f>'RAZONES FINANCIERAS'!F24</f>
        <v>0.34978845108635714</v>
      </c>
      <c r="H7" s="14">
        <f>'RAZONES FINANCIERAS'!G24</f>
        <v>0.51807319563323839</v>
      </c>
      <c r="I7" s="14">
        <f>'RAZONES FINANCIERAS'!H24</f>
        <v>8.9555304546695622E-2</v>
      </c>
      <c r="J7" s="14">
        <f>'RAZONES FINANCIERAS'!I24</f>
        <v>1.4862587133691099</v>
      </c>
      <c r="K7" s="14">
        <f>'RAZONES FINANCIERAS'!J24</f>
        <v>1.5758140179158056</v>
      </c>
      <c r="L7" s="14">
        <f>'RAZONES FINANCIERAS'!K24</f>
        <v>2.9811466303509691</v>
      </c>
      <c r="M7" s="14">
        <f>'RAZONES FINANCIERAS'!L24</f>
        <v>1.1435382344091938E-2</v>
      </c>
      <c r="N7" s="14">
        <f>'RAZONES FINANCIERAS'!M24</f>
        <v>2.9925820126950611</v>
      </c>
      <c r="O7" s="15">
        <f>'RAZONES FINANCIERAS'!N24</f>
        <v>2.5286442971496337</v>
      </c>
    </row>
    <row r="8" spans="1:18" x14ac:dyDescent="0.25">
      <c r="A8" s="4">
        <v>6</v>
      </c>
      <c r="B8" s="11" t="str">
        <f>'RAZONES FINANCIERAS'!A10</f>
        <v>FEMSA</v>
      </c>
      <c r="C8" s="1">
        <f>'RAZONES FINANCIERAS'!B25</f>
        <v>2.5476912608183531</v>
      </c>
      <c r="D8" s="1">
        <f>'RAZONES FINANCIERAS'!C25</f>
        <v>2.3369253697322385</v>
      </c>
      <c r="E8" s="14">
        <f>'RAZONES FINANCIERAS'!D25</f>
        <v>4.8846166305505916</v>
      </c>
      <c r="F8" s="14">
        <f>'RAZONES FINANCIERAS'!E25</f>
        <v>0.19139182308368169</v>
      </c>
      <c r="G8" s="14">
        <f>'RAZONES FINANCIERAS'!F25</f>
        <v>0.2681732523322376</v>
      </c>
      <c r="H8" s="14">
        <f>'RAZONES FINANCIERAS'!G25</f>
        <v>0.45956507541591929</v>
      </c>
      <c r="I8" s="14">
        <f>'RAZONES FINANCIERAS'!H25</f>
        <v>6.5874791482886316E-2</v>
      </c>
      <c r="J8" s="14">
        <f>'RAZONES FINANCIERAS'!I25</f>
        <v>0.73697662502054873</v>
      </c>
      <c r="K8" s="14">
        <f>'RAZONES FINANCIERAS'!J25</f>
        <v>0.80285141650343506</v>
      </c>
      <c r="L8" s="14">
        <f>'RAZONES FINANCIERAS'!K25</f>
        <v>0.80880132464763987</v>
      </c>
      <c r="M8" s="14">
        <f>'RAZONES FINANCIERAS'!L25</f>
        <v>2.6764852558138399E-2</v>
      </c>
      <c r="N8" s="14">
        <f>'RAZONES FINANCIERAS'!M25</f>
        <v>0.8355661772057783</v>
      </c>
      <c r="O8" s="15">
        <f>'RAZONES FINANCIERAS'!N25</f>
        <v>1.4851613989480945</v>
      </c>
    </row>
    <row r="9" spans="1:18" x14ac:dyDescent="0.25">
      <c r="A9" s="4">
        <v>7</v>
      </c>
      <c r="B9" s="11" t="str">
        <f>'RAZONES FINANCIERAS'!A12</f>
        <v>HERDEZ</v>
      </c>
      <c r="C9" s="1">
        <f>'RAZONES FINANCIERAS'!B27</f>
        <v>3.6540653855298246</v>
      </c>
      <c r="D9" s="1">
        <f>'RAZONES FINANCIERAS'!C27</f>
        <v>4.0287359772776945</v>
      </c>
      <c r="E9" s="14">
        <f>'RAZONES FINANCIERAS'!D27</f>
        <v>7.6828013628075187</v>
      </c>
      <c r="F9" s="14">
        <f>'RAZONES FINANCIERAS'!E27</f>
        <v>0.20352753549059874</v>
      </c>
      <c r="G9" s="14">
        <f>'RAZONES FINANCIERAS'!F27</f>
        <v>0.26249138799507576</v>
      </c>
      <c r="H9" s="14">
        <f>'RAZONES FINANCIERAS'!G27</f>
        <v>0.46601892348567453</v>
      </c>
      <c r="I9" s="14">
        <f>'RAZONES FINANCIERAS'!H27</f>
        <v>5.9594695809095592E-2</v>
      </c>
      <c r="J9" s="14">
        <f>'RAZONES FINANCIERAS'!I27</f>
        <v>0.61367986331486335</v>
      </c>
      <c r="K9" s="14">
        <f>'RAZONES FINANCIERAS'!J27</f>
        <v>0.67327455912395895</v>
      </c>
      <c r="L9" s="14">
        <f>'RAZONES FINANCIERAS'!K27</f>
        <v>0.40380685876448391</v>
      </c>
      <c r="M9" s="14">
        <f>'RAZONES FINANCIERAS'!L27</f>
        <v>2.4498968283333471E-2</v>
      </c>
      <c r="N9" s="14">
        <f>'RAZONES FINANCIERAS'!M27</f>
        <v>0.42830582704781739</v>
      </c>
      <c r="O9" s="15">
        <f>'RAZONES FINANCIERAS'!N27</f>
        <v>1.9677807923977431</v>
      </c>
    </row>
    <row r="10" spans="1:18" x14ac:dyDescent="0.25">
      <c r="A10" s="4">
        <v>8</v>
      </c>
      <c r="B10" s="11" t="str">
        <f>'RAZONES FINANCIERAS'!A7</f>
        <v>WALMEX</v>
      </c>
      <c r="C10" s="1">
        <f>'RAZONES FINANCIERAS'!B22</f>
        <v>1.4643633384381554</v>
      </c>
      <c r="D10" s="1">
        <f>'RAZONES FINANCIERAS'!C22</f>
        <v>2.047289313880837</v>
      </c>
      <c r="E10" s="14">
        <f>'RAZONES FINANCIERAS'!D22</f>
        <v>3.5116526523189924</v>
      </c>
      <c r="F10" s="14">
        <f>'RAZONES FINANCIERAS'!E22</f>
        <v>0.475167410584869</v>
      </c>
      <c r="G10" s="14">
        <f>'RAZONES FINANCIERAS'!F22</f>
        <v>0.57204373581423373</v>
      </c>
      <c r="H10" s="14">
        <f>'RAZONES FINANCIERAS'!G22</f>
        <v>1.0472111463991027</v>
      </c>
      <c r="I10" s="14">
        <f>'RAZONES FINANCIERAS'!H22</f>
        <v>5.3953212600546745E-2</v>
      </c>
      <c r="J10" s="14">
        <f>'RAZONES FINANCIERAS'!I22</f>
        <v>0.51861166016239924</v>
      </c>
      <c r="K10" s="14">
        <f>'RAZONES FINANCIERAS'!J22</f>
        <v>0.57256487276294599</v>
      </c>
      <c r="L10" s="14">
        <f>'RAZONES FINANCIERAS'!K22</f>
        <v>0.74812490179616464</v>
      </c>
      <c r="M10" s="14">
        <f>'RAZONES FINANCIERAS'!L22</f>
        <v>6.5014165798730164E-2</v>
      </c>
      <c r="N10" s="14">
        <f>'RAZONES FINANCIERAS'!M22</f>
        <v>0.81313906759489485</v>
      </c>
      <c r="O10" s="15">
        <f>'RAZONES FINANCIERAS'!N22</f>
        <v>1.3742983576118131</v>
      </c>
    </row>
    <row r="11" spans="1:18" x14ac:dyDescent="0.25">
      <c r="A11" s="4">
        <v>9</v>
      </c>
      <c r="B11" s="11" t="str">
        <f>'RAZONES FINANCIERAS'!A11</f>
        <v>LALA</v>
      </c>
      <c r="C11" s="1">
        <f>'RAZONES FINANCIERAS'!B26</f>
        <v>5.5</v>
      </c>
      <c r="D11" s="1">
        <f>'RAZONES FINANCIERAS'!C26</f>
        <v>4.5</v>
      </c>
      <c r="E11" s="14">
        <f>'RAZONES FINANCIERAS'!D26</f>
        <v>10</v>
      </c>
      <c r="F11" s="14">
        <f>'RAZONES FINANCIERAS'!E26</f>
        <v>0.11427695079481587</v>
      </c>
      <c r="G11" s="14">
        <f>'RAZONES FINANCIERAS'!F26</f>
        <v>0.11478540486166518</v>
      </c>
      <c r="H11" s="14">
        <f>'RAZONES FINANCIERAS'!G26</f>
        <v>0.22906235565648103</v>
      </c>
      <c r="I11" s="14">
        <f>'RAZONES FINANCIERAS'!H26</f>
        <v>3.7174749660425138E-2</v>
      </c>
      <c r="J11" s="14">
        <f>'RAZONES FINANCIERAS'!I26</f>
        <v>0.29813877268919853</v>
      </c>
      <c r="K11" s="14">
        <f>'RAZONES FINANCIERAS'!J26</f>
        <v>0.33531352234962364</v>
      </c>
      <c r="L11" s="14">
        <f>'RAZONES FINANCIERAS'!K26</f>
        <v>0.24254722550998739</v>
      </c>
      <c r="M11" s="14">
        <f>'RAZONES FINANCIERAS'!L26</f>
        <v>1.35346077087881E-2</v>
      </c>
      <c r="N11" s="14">
        <f>'RAZONES FINANCIERAS'!M26</f>
        <v>0.25608183321877548</v>
      </c>
      <c r="O11" s="15">
        <f>'RAZONES FINANCIERAS'!N26</f>
        <v>2.2178271822893572</v>
      </c>
    </row>
    <row r="12" spans="1:18" x14ac:dyDescent="0.25">
      <c r="A12" s="4">
        <v>10</v>
      </c>
      <c r="B12" s="7" t="str">
        <f>'RAZONES FINANCIERAS'!A5</f>
        <v>PEMEX</v>
      </c>
      <c r="C12" s="5">
        <f>'RAZONES FINANCIERAS'!B20</f>
        <v>3.290185268404731</v>
      </c>
      <c r="D12" s="5">
        <f>'RAZONES FINANCIERAS'!C20</f>
        <v>2.4605058406586537</v>
      </c>
      <c r="E12" s="16">
        <f>'RAZONES FINANCIERAS'!D20</f>
        <v>5.7506911090633848</v>
      </c>
      <c r="F12" s="16">
        <f>'RAZONES FINANCIERAS'!E20</f>
        <v>-0.27311105546628384</v>
      </c>
      <c r="G12" s="16">
        <f>'RAZONES FINANCIERAS'!F20</f>
        <v>4</v>
      </c>
      <c r="H12" s="16">
        <f>'RAZONES FINANCIERAS'!G20</f>
        <v>3.7268889445337163</v>
      </c>
      <c r="I12" s="16">
        <f>'RAZONES FINANCIERAS'!H20</f>
        <v>0.14549085173429327</v>
      </c>
      <c r="J12" s="16">
        <f>'RAZONES FINANCIERAS'!I20</f>
        <v>-17.013700253191622</v>
      </c>
      <c r="K12" s="16">
        <f>'RAZONES FINANCIERAS'!J20</f>
        <v>-16.868209401457328</v>
      </c>
      <c r="L12" s="16">
        <f>'RAZONES FINANCIERAS'!K20</f>
        <v>1.5628954736701359</v>
      </c>
      <c r="M12" s="16">
        <f>'RAZONES FINANCIERAS'!L20</f>
        <v>2.9910868207440298E-2</v>
      </c>
      <c r="N12" s="16">
        <f>'RAZONES FINANCIERAS'!M20</f>
        <v>1.5928063418775762</v>
      </c>
      <c r="O12" s="17">
        <f>'RAZONES FINANCIERAS'!N20</f>
        <v>-2.260288386623277</v>
      </c>
    </row>
    <row r="16" spans="1:18" x14ac:dyDescent="0.25">
      <c r="M16" s="2"/>
      <c r="N16" s="2"/>
      <c r="O16" s="2"/>
      <c r="P16" s="2"/>
      <c r="Q16" s="2"/>
      <c r="R16" s="2"/>
    </row>
    <row r="17" spans="13:18" x14ac:dyDescent="0.25">
      <c r="M17" s="2"/>
      <c r="N17" s="2"/>
      <c r="O17" s="2"/>
      <c r="P17" s="2"/>
      <c r="Q17" s="2"/>
      <c r="R17" s="2"/>
    </row>
    <row r="18" spans="13:18" x14ac:dyDescent="0.25">
      <c r="M18" s="2"/>
      <c r="N18" s="2"/>
      <c r="O18" s="2"/>
      <c r="P18" s="2"/>
      <c r="Q18" s="2"/>
      <c r="R18" s="2"/>
    </row>
    <row r="19" spans="13:18" x14ac:dyDescent="0.25">
      <c r="M19" s="2"/>
      <c r="N19" s="2"/>
      <c r="O19" s="2"/>
      <c r="P19" s="2"/>
      <c r="Q19" s="2"/>
      <c r="R19" s="2"/>
    </row>
    <row r="20" spans="13:18" x14ac:dyDescent="0.25">
      <c r="M20" s="2"/>
      <c r="N20" s="2"/>
      <c r="O20" s="2"/>
      <c r="P20" s="2"/>
      <c r="Q20" s="2"/>
      <c r="R20" s="2"/>
    </row>
    <row r="21" spans="13:18" x14ac:dyDescent="0.25">
      <c r="M21" s="2"/>
      <c r="N21" s="2"/>
      <c r="O21" s="2"/>
      <c r="P21" s="2"/>
      <c r="Q21" s="2"/>
      <c r="R21" s="2"/>
    </row>
    <row r="22" spans="13:18" x14ac:dyDescent="0.25">
      <c r="M22" s="2"/>
      <c r="N22" s="2"/>
      <c r="O22" s="2"/>
      <c r="P22" s="2"/>
      <c r="Q22" s="2"/>
      <c r="R22" s="2"/>
    </row>
    <row r="23" spans="13:18" x14ac:dyDescent="0.25">
      <c r="M23" s="2"/>
      <c r="N23" s="2"/>
      <c r="O23" s="2"/>
      <c r="P23" s="2"/>
      <c r="Q23" s="2"/>
      <c r="R23" s="2"/>
    </row>
    <row r="24" spans="13:18" x14ac:dyDescent="0.25">
      <c r="M24" s="2"/>
      <c r="N24" s="2"/>
      <c r="O24" s="2"/>
      <c r="P24" s="2"/>
      <c r="Q24" s="2"/>
      <c r="R24" s="2"/>
    </row>
    <row r="25" spans="13:18" x14ac:dyDescent="0.25">
      <c r="M25" s="2"/>
      <c r="N25" s="2"/>
      <c r="O25" s="2"/>
      <c r="P25" s="2"/>
      <c r="Q25" s="2"/>
      <c r="R25" s="2"/>
    </row>
  </sheetData>
  <mergeCells count="4">
    <mergeCell ref="C1:D1"/>
    <mergeCell ref="F1:G1"/>
    <mergeCell ref="I1:J1"/>
    <mergeCell ref="L1:M1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5"/>
  <sheetViews>
    <sheetView showGridLines="0" zoomScale="70" zoomScaleNormal="70" workbookViewId="0">
      <selection activeCell="O24" sqref="O24"/>
    </sheetView>
  </sheetViews>
  <sheetFormatPr baseColWidth="10" defaultRowHeight="15" x14ac:dyDescent="0.25"/>
  <cols>
    <col min="1" max="1" width="3.85546875" customWidth="1"/>
    <col min="2" max="2" width="25" customWidth="1"/>
    <col min="3" max="3" width="11.42578125" hidden="1" customWidth="1"/>
    <col min="4" max="4" width="14" hidden="1" customWidth="1"/>
    <col min="5" max="5" width="12" customWidth="1"/>
    <col min="6" max="7" width="11.42578125" hidden="1" customWidth="1"/>
    <col min="8" max="8" width="11.5703125" customWidth="1"/>
    <col min="9" max="10" width="11.42578125" hidden="1" customWidth="1"/>
    <col min="11" max="11" width="13.5703125" customWidth="1"/>
    <col min="12" max="12" width="15.28515625" hidden="1" customWidth="1"/>
    <col min="13" max="13" width="13.140625" hidden="1" customWidth="1"/>
    <col min="14" max="14" width="14.140625" customWidth="1"/>
    <col min="15" max="15" width="15.5703125" customWidth="1"/>
  </cols>
  <sheetData>
    <row r="1" spans="1:18" x14ac:dyDescent="0.25">
      <c r="C1" s="37" t="s">
        <v>32</v>
      </c>
      <c r="D1" s="37"/>
      <c r="F1" s="37" t="s">
        <v>33</v>
      </c>
      <c r="G1" s="37"/>
      <c r="I1" s="37" t="s">
        <v>34</v>
      </c>
      <c r="J1" s="37"/>
      <c r="L1" s="37" t="s">
        <v>35</v>
      </c>
      <c r="M1" s="37"/>
    </row>
    <row r="2" spans="1:18" ht="30" x14ac:dyDescent="0.25">
      <c r="A2" s="10" t="s">
        <v>40</v>
      </c>
      <c r="B2" s="12" t="s">
        <v>16</v>
      </c>
      <c r="C2" s="8" t="s">
        <v>21</v>
      </c>
      <c r="D2" s="8" t="s">
        <v>22</v>
      </c>
      <c r="E2" s="13" t="s">
        <v>46</v>
      </c>
      <c r="F2" s="8" t="s">
        <v>23</v>
      </c>
      <c r="G2" s="8" t="s">
        <v>24</v>
      </c>
      <c r="H2" s="6" t="s">
        <v>47</v>
      </c>
      <c r="I2" s="8" t="s">
        <v>25</v>
      </c>
      <c r="J2" s="8" t="s">
        <v>50</v>
      </c>
      <c r="K2" s="6" t="s">
        <v>48</v>
      </c>
      <c r="L2" s="8" t="s">
        <v>26</v>
      </c>
      <c r="M2" s="8" t="s">
        <v>27</v>
      </c>
      <c r="N2" s="6" t="s">
        <v>49</v>
      </c>
      <c r="O2" s="9" t="s">
        <v>36</v>
      </c>
    </row>
    <row r="3" spans="1:18" x14ac:dyDescent="0.25">
      <c r="A3" s="4">
        <v>1</v>
      </c>
      <c r="B3" s="11" t="str">
        <f>'RAZONES FINANCIERAS'!A4</f>
        <v>VOLARIS</v>
      </c>
      <c r="C3" s="1">
        <f>'RAZONES FINANCIERAS'!B19</f>
        <v>1.1795765238801803</v>
      </c>
      <c r="D3" s="1">
        <f>'RAZONES FINANCIERAS'!C19</f>
        <v>0.83365370863179611</v>
      </c>
      <c r="E3" s="14">
        <f>'RAZONES FINANCIERAS'!D19</f>
        <v>2.0132302325119764</v>
      </c>
      <c r="F3" s="14">
        <f>'RAZONES FINANCIERAS'!E19</f>
        <v>0.13705673805450966</v>
      </c>
      <c r="G3" s="14">
        <f>'RAZONES FINANCIERAS'!F19</f>
        <v>0.53439018175883146</v>
      </c>
      <c r="H3" s="14">
        <f>'RAZONES FINANCIERAS'!G19</f>
        <v>0.67144691981334115</v>
      </c>
      <c r="I3" s="14">
        <f>'RAZONES FINANCIERAS'!H19</f>
        <v>0.11242621385812479</v>
      </c>
      <c r="J3" s="14">
        <f>'RAZONES FINANCIERAS'!I19</f>
        <v>3.5</v>
      </c>
      <c r="K3" s="14">
        <f>'RAZONES FINANCIERAS'!J19</f>
        <v>3.6124262138581247</v>
      </c>
      <c r="L3" s="14">
        <f>'RAZONES FINANCIERAS'!K19</f>
        <v>7</v>
      </c>
      <c r="M3" s="14">
        <f>'RAZONES FINANCIERAS'!L19</f>
        <v>7.4926943375486138E-2</v>
      </c>
      <c r="N3" s="14">
        <f>'RAZONES FINANCIERAS'!M19</f>
        <v>7.0749269433754858</v>
      </c>
      <c r="O3" s="15">
        <f>'RAZONES FINANCIERAS'!N19</f>
        <v>2.4624453729227174</v>
      </c>
    </row>
    <row r="4" spans="1:18" x14ac:dyDescent="0.25">
      <c r="A4" s="4">
        <v>2</v>
      </c>
      <c r="B4" s="11" t="str">
        <f>'RAZONES FINANCIERAS'!A3</f>
        <v>ALSEA</v>
      </c>
      <c r="C4" s="1">
        <f>'RAZONES FINANCIERAS'!B18</f>
        <v>-0.40254065973702152</v>
      </c>
      <c r="D4" s="1">
        <f>'RAZONES FINANCIERAS'!C18</f>
        <v>7.7392340899305634E-2</v>
      </c>
      <c r="E4" s="14">
        <f>'RAZONES FINANCIERAS'!D18</f>
        <v>-0.32514831883771589</v>
      </c>
      <c r="F4" s="14">
        <f>'RAZONES FINANCIERAS'!E18</f>
        <v>6</v>
      </c>
      <c r="G4" s="14">
        <f>'RAZONES FINANCIERAS'!F18</f>
        <v>0.17330176705809675</v>
      </c>
      <c r="H4" s="14">
        <f>'RAZONES FINANCIERAS'!G18</f>
        <v>6.1733017670580965</v>
      </c>
      <c r="I4" s="14">
        <f>'RAZONES FINANCIERAS'!H18</f>
        <v>6.5</v>
      </c>
      <c r="J4" s="14">
        <f>'RAZONES FINANCIERAS'!I18</f>
        <v>1.4990201728958596</v>
      </c>
      <c r="K4" s="14">
        <f>'RAZONES FINANCIERAS'!J18</f>
        <v>7.9990201728958592</v>
      </c>
      <c r="L4" s="14">
        <f>'RAZONES FINANCIERAS'!K18</f>
        <v>0.96570408521065987</v>
      </c>
      <c r="M4" s="14">
        <f>'RAZONES FINANCIERAS'!L18</f>
        <v>3</v>
      </c>
      <c r="N4" s="14">
        <f>'RAZONES FINANCIERAS'!M18</f>
        <v>3.96570408521066</v>
      </c>
      <c r="O4" s="15">
        <f>'RAZONES FINANCIERAS'!N18</f>
        <v>5.2005675034455194</v>
      </c>
    </row>
    <row r="5" spans="1:18" x14ac:dyDescent="0.25">
      <c r="A5" s="4">
        <v>3</v>
      </c>
      <c r="B5" s="11" t="str">
        <f>'RAZONES FINANCIERAS'!A9</f>
        <v>TELEVISA</v>
      </c>
      <c r="C5" s="1">
        <f>'RAZONES FINANCIERAS'!B24</f>
        <v>4.6079246812228458</v>
      </c>
      <c r="D5" s="1">
        <f>'RAZONES FINANCIERAS'!C24</f>
        <v>3.1391383800376067</v>
      </c>
      <c r="E5" s="14">
        <f>'RAZONES FINANCIERAS'!D24</f>
        <v>7.7470630612604525</v>
      </c>
      <c r="F5" s="14">
        <f>'RAZONES FINANCIERAS'!E24</f>
        <v>0.16828474454688125</v>
      </c>
      <c r="G5" s="14">
        <f>'RAZONES FINANCIERAS'!F24</f>
        <v>0.34978845108635714</v>
      </c>
      <c r="H5" s="14">
        <f>'RAZONES FINANCIERAS'!G24</f>
        <v>0.51807319563323839</v>
      </c>
      <c r="I5" s="14">
        <f>'RAZONES FINANCIERAS'!H24</f>
        <v>8.9555304546695622E-2</v>
      </c>
      <c r="J5" s="14">
        <f>'RAZONES FINANCIERAS'!I24</f>
        <v>1.4862587133691099</v>
      </c>
      <c r="K5" s="14">
        <f>'RAZONES FINANCIERAS'!J24</f>
        <v>1.5758140179158056</v>
      </c>
      <c r="L5" s="14">
        <f>'RAZONES FINANCIERAS'!K24</f>
        <v>2.9811466303509691</v>
      </c>
      <c r="M5" s="14">
        <f>'RAZONES FINANCIERAS'!L24</f>
        <v>1.1435382344091938E-2</v>
      </c>
      <c r="N5" s="14">
        <f>'RAZONES FINANCIERAS'!M24</f>
        <v>2.9925820126950611</v>
      </c>
      <c r="O5" s="15">
        <f>'RAZONES FINANCIERAS'!N24</f>
        <v>2.5286442971496337</v>
      </c>
    </row>
    <row r="6" spans="1:18" x14ac:dyDescent="0.25">
      <c r="A6" s="4">
        <v>4</v>
      </c>
      <c r="B6" s="11" t="str">
        <f>'RAZONES FINANCIERAS'!A8</f>
        <v>AXTEL</v>
      </c>
      <c r="C6" s="1">
        <f>'RAZONES FINANCIERAS'!B23</f>
        <v>3.373367577340463</v>
      </c>
      <c r="D6" s="1">
        <f>'RAZONES FINANCIERAS'!C23</f>
        <v>2.3011992758605699</v>
      </c>
      <c r="E6" s="14">
        <f>'RAZONES FINANCIERAS'!D23</f>
        <v>5.6745668532010329</v>
      </c>
      <c r="F6" s="14">
        <f>'RAZONES FINANCIERAS'!E23</f>
        <v>-3.4063023096154013E-2</v>
      </c>
      <c r="G6" s="14">
        <f>'RAZONES FINANCIERAS'!F23</f>
        <v>-9.2071416043650656E-2</v>
      </c>
      <c r="H6" s="14">
        <f>'RAZONES FINANCIERAS'!G23</f>
        <v>-0.12613443913980465</v>
      </c>
      <c r="I6" s="14">
        <f>'RAZONES FINANCIERAS'!H23</f>
        <v>0.10087119641306423</v>
      </c>
      <c r="J6" s="14">
        <f>'RAZONES FINANCIERAS'!I23</f>
        <v>2.1769636910223613</v>
      </c>
      <c r="K6" s="14">
        <f>'RAZONES FINANCIERAS'!J23</f>
        <v>2.2778348874354255</v>
      </c>
      <c r="L6" s="14">
        <f>'RAZONES FINANCIERAS'!K23</f>
        <v>2.8230235541091369</v>
      </c>
      <c r="M6" s="14">
        <f>'RAZONES FINANCIERAS'!L23</f>
        <v>7.6238628639796284E-4</v>
      </c>
      <c r="N6" s="14">
        <f>'RAZONES FINANCIERAS'!M23</f>
        <v>2.8237859403955348</v>
      </c>
      <c r="O6" s="15">
        <f>'RAZONES FINANCIERAS'!N23</f>
        <v>2.0501886552544661</v>
      </c>
    </row>
    <row r="7" spans="1:18" x14ac:dyDescent="0.25">
      <c r="A7" s="4">
        <v>5</v>
      </c>
      <c r="B7" s="11" t="str">
        <f>'RAZONES FINANCIERAS'!A5</f>
        <v>PEMEX</v>
      </c>
      <c r="C7" s="1">
        <f>'RAZONES FINANCIERAS'!B20</f>
        <v>3.290185268404731</v>
      </c>
      <c r="D7" s="1">
        <f>'RAZONES FINANCIERAS'!C20</f>
        <v>2.4605058406586537</v>
      </c>
      <c r="E7" s="14">
        <f>'RAZONES FINANCIERAS'!D20</f>
        <v>5.7506911090633848</v>
      </c>
      <c r="F7" s="14">
        <f>'RAZONES FINANCIERAS'!E20</f>
        <v>-0.27311105546628384</v>
      </c>
      <c r="G7" s="14">
        <f>'RAZONES FINANCIERAS'!F20</f>
        <v>4</v>
      </c>
      <c r="H7" s="14">
        <f>'RAZONES FINANCIERAS'!G20</f>
        <v>3.7268889445337163</v>
      </c>
      <c r="I7" s="14">
        <f>'RAZONES FINANCIERAS'!H20</f>
        <v>0.14549085173429327</v>
      </c>
      <c r="J7" s="14">
        <f>'RAZONES FINANCIERAS'!I20</f>
        <v>-17.013700253191622</v>
      </c>
      <c r="K7" s="14">
        <f>'RAZONES FINANCIERAS'!J20</f>
        <v>-16.868209401457328</v>
      </c>
      <c r="L7" s="14">
        <f>'RAZONES FINANCIERAS'!K20</f>
        <v>1.5628954736701359</v>
      </c>
      <c r="M7" s="14">
        <f>'RAZONES FINANCIERAS'!L20</f>
        <v>2.9910868207440298E-2</v>
      </c>
      <c r="N7" s="14">
        <f>'RAZONES FINANCIERAS'!M20</f>
        <v>1.5928063418775762</v>
      </c>
      <c r="O7" s="15">
        <f>'RAZONES FINANCIERAS'!N20</f>
        <v>-2.260288386623277</v>
      </c>
    </row>
    <row r="8" spans="1:18" x14ac:dyDescent="0.25">
      <c r="A8" s="4">
        <v>6</v>
      </c>
      <c r="B8" s="11" t="str">
        <f>'RAZONES FINANCIERAS'!A10</f>
        <v>FEMSA</v>
      </c>
      <c r="C8" s="1">
        <f>'RAZONES FINANCIERAS'!B25</f>
        <v>2.5476912608183531</v>
      </c>
      <c r="D8" s="1">
        <f>'RAZONES FINANCIERAS'!C25</f>
        <v>2.3369253697322385</v>
      </c>
      <c r="E8" s="14">
        <f>'RAZONES FINANCIERAS'!D25</f>
        <v>4.8846166305505916</v>
      </c>
      <c r="F8" s="14">
        <f>'RAZONES FINANCIERAS'!E25</f>
        <v>0.19139182308368169</v>
      </c>
      <c r="G8" s="14">
        <f>'RAZONES FINANCIERAS'!F25</f>
        <v>0.2681732523322376</v>
      </c>
      <c r="H8" s="14">
        <f>'RAZONES FINANCIERAS'!G25</f>
        <v>0.45956507541591929</v>
      </c>
      <c r="I8" s="14">
        <f>'RAZONES FINANCIERAS'!H25</f>
        <v>6.5874791482886316E-2</v>
      </c>
      <c r="J8" s="14">
        <f>'RAZONES FINANCIERAS'!I25</f>
        <v>0.73697662502054873</v>
      </c>
      <c r="K8" s="14">
        <f>'RAZONES FINANCIERAS'!J25</f>
        <v>0.80285141650343506</v>
      </c>
      <c r="L8" s="14">
        <f>'RAZONES FINANCIERAS'!K25</f>
        <v>0.80880132464763987</v>
      </c>
      <c r="M8" s="14">
        <f>'RAZONES FINANCIERAS'!L25</f>
        <v>2.6764852558138399E-2</v>
      </c>
      <c r="N8" s="14">
        <f>'RAZONES FINANCIERAS'!M25</f>
        <v>0.8355661772057783</v>
      </c>
      <c r="O8" s="15">
        <f>'RAZONES FINANCIERAS'!N25</f>
        <v>1.4851613989480945</v>
      </c>
    </row>
    <row r="9" spans="1:18" x14ac:dyDescent="0.25">
      <c r="A9" s="4">
        <v>7</v>
      </c>
      <c r="B9" s="11" t="str">
        <f>'RAZONES FINANCIERAS'!A7</f>
        <v>WALMEX</v>
      </c>
      <c r="C9" s="1">
        <f>'RAZONES FINANCIERAS'!B22</f>
        <v>1.4643633384381554</v>
      </c>
      <c r="D9" s="1">
        <f>'RAZONES FINANCIERAS'!C22</f>
        <v>2.047289313880837</v>
      </c>
      <c r="E9" s="14">
        <f>'RAZONES FINANCIERAS'!D22</f>
        <v>3.5116526523189924</v>
      </c>
      <c r="F9" s="14">
        <f>'RAZONES FINANCIERAS'!E22</f>
        <v>0.475167410584869</v>
      </c>
      <c r="G9" s="14">
        <f>'RAZONES FINANCIERAS'!F22</f>
        <v>0.57204373581423373</v>
      </c>
      <c r="H9" s="14">
        <f>'RAZONES FINANCIERAS'!G22</f>
        <v>1.0472111463991027</v>
      </c>
      <c r="I9" s="14">
        <f>'RAZONES FINANCIERAS'!H22</f>
        <v>5.3953212600546745E-2</v>
      </c>
      <c r="J9" s="14">
        <f>'RAZONES FINANCIERAS'!I22</f>
        <v>0.51861166016239924</v>
      </c>
      <c r="K9" s="14">
        <f>'RAZONES FINANCIERAS'!J22</f>
        <v>0.57256487276294599</v>
      </c>
      <c r="L9" s="14">
        <f>'RAZONES FINANCIERAS'!K22</f>
        <v>0.74812490179616464</v>
      </c>
      <c r="M9" s="14">
        <f>'RAZONES FINANCIERAS'!L22</f>
        <v>6.5014165798730164E-2</v>
      </c>
      <c r="N9" s="14">
        <f>'RAZONES FINANCIERAS'!M22</f>
        <v>0.81313906759489485</v>
      </c>
      <c r="O9" s="15">
        <f>'RAZONES FINANCIERAS'!N22</f>
        <v>1.3742983576118131</v>
      </c>
    </row>
    <row r="10" spans="1:18" x14ac:dyDescent="0.25">
      <c r="A10" s="4">
        <v>8</v>
      </c>
      <c r="B10" s="11" t="str">
        <f>'RAZONES FINANCIERAS'!A6</f>
        <v>ELEKTRA</v>
      </c>
      <c r="C10" s="1">
        <f>'RAZONES FINANCIERAS'!B21</f>
        <v>3.2614546157505337</v>
      </c>
      <c r="D10" s="1">
        <f>'RAZONES FINANCIERAS'!C21</f>
        <v>2.3114139873658104</v>
      </c>
      <c r="E10" s="14">
        <f>'RAZONES FINANCIERAS'!D21</f>
        <v>5.5728686031163441</v>
      </c>
      <c r="F10" s="14">
        <f>'RAZONES FINANCIERAS'!E21</f>
        <v>-0.44715782081911415</v>
      </c>
      <c r="G10" s="14">
        <f>'RAZONES FINANCIERAS'!F21</f>
        <v>-1.1930881682649996</v>
      </c>
      <c r="H10" s="14">
        <f>'RAZONES FINANCIERAS'!G21</f>
        <v>-1.6402459890841139</v>
      </c>
      <c r="I10" s="14">
        <f>'RAZONES FINANCIERAS'!H21</f>
        <v>0.10037971386789267</v>
      </c>
      <c r="J10" s="14">
        <f>'RAZONES FINANCIERAS'!I21</f>
        <v>2.1384546339141153</v>
      </c>
      <c r="K10" s="14">
        <f>'RAZONES FINANCIERAS'!J21</f>
        <v>2.2388343477820078</v>
      </c>
      <c r="L10" s="14">
        <f>'RAZONES FINANCIERAS'!K21</f>
        <v>0.43177495676846517</v>
      </c>
      <c r="M10" s="14">
        <f>'RAZONES FINANCIERAS'!L21</f>
        <v>1.5461250987717489E-2</v>
      </c>
      <c r="N10" s="14">
        <f>'RAZONES FINANCIERAS'!M21</f>
        <v>0.44723620775618267</v>
      </c>
      <c r="O10" s="15">
        <f>'RAZONES FINANCIERAS'!N21</f>
        <v>1.174849250099844</v>
      </c>
    </row>
    <row r="11" spans="1:18" x14ac:dyDescent="0.25">
      <c r="A11" s="4">
        <v>9</v>
      </c>
      <c r="B11" s="11" t="str">
        <f>'RAZONES FINANCIERAS'!A12</f>
        <v>HERDEZ</v>
      </c>
      <c r="C11" s="1">
        <f>'RAZONES FINANCIERAS'!B27</f>
        <v>3.6540653855298246</v>
      </c>
      <c r="D11" s="1">
        <f>'RAZONES FINANCIERAS'!C27</f>
        <v>4.0287359772776945</v>
      </c>
      <c r="E11" s="14">
        <f>'RAZONES FINANCIERAS'!D27</f>
        <v>7.6828013628075187</v>
      </c>
      <c r="F11" s="14">
        <f>'RAZONES FINANCIERAS'!E27</f>
        <v>0.20352753549059874</v>
      </c>
      <c r="G11" s="14">
        <f>'RAZONES FINANCIERAS'!F27</f>
        <v>0.26249138799507576</v>
      </c>
      <c r="H11" s="14">
        <f>'RAZONES FINANCIERAS'!G27</f>
        <v>0.46601892348567453</v>
      </c>
      <c r="I11" s="14">
        <f>'RAZONES FINANCIERAS'!H27</f>
        <v>5.9594695809095592E-2</v>
      </c>
      <c r="J11" s="14">
        <f>'RAZONES FINANCIERAS'!I27</f>
        <v>0.61367986331486335</v>
      </c>
      <c r="K11" s="14">
        <f>'RAZONES FINANCIERAS'!J27</f>
        <v>0.67327455912395895</v>
      </c>
      <c r="L11" s="14">
        <f>'RAZONES FINANCIERAS'!K27</f>
        <v>0.40380685876448391</v>
      </c>
      <c r="M11" s="14">
        <f>'RAZONES FINANCIERAS'!L27</f>
        <v>2.4498968283333471E-2</v>
      </c>
      <c r="N11" s="14">
        <f>'RAZONES FINANCIERAS'!M27</f>
        <v>0.42830582704781739</v>
      </c>
      <c r="O11" s="15">
        <f>'RAZONES FINANCIERAS'!N27</f>
        <v>1.9677807923977431</v>
      </c>
    </row>
    <row r="12" spans="1:18" x14ac:dyDescent="0.25">
      <c r="A12" s="4">
        <v>10</v>
      </c>
      <c r="B12" s="7" t="str">
        <f>'RAZONES FINANCIERAS'!A11</f>
        <v>LALA</v>
      </c>
      <c r="C12" s="5">
        <f>'RAZONES FINANCIERAS'!B26</f>
        <v>5.5</v>
      </c>
      <c r="D12" s="5">
        <f>'RAZONES FINANCIERAS'!C26</f>
        <v>4.5</v>
      </c>
      <c r="E12" s="16">
        <f>'RAZONES FINANCIERAS'!D26</f>
        <v>10</v>
      </c>
      <c r="F12" s="16">
        <f>'RAZONES FINANCIERAS'!E26</f>
        <v>0.11427695079481587</v>
      </c>
      <c r="G12" s="16">
        <f>'RAZONES FINANCIERAS'!F26</f>
        <v>0.11478540486166518</v>
      </c>
      <c r="H12" s="16">
        <f>'RAZONES FINANCIERAS'!G26</f>
        <v>0.22906235565648103</v>
      </c>
      <c r="I12" s="16">
        <f>'RAZONES FINANCIERAS'!H26</f>
        <v>3.7174749660425138E-2</v>
      </c>
      <c r="J12" s="16">
        <f>'RAZONES FINANCIERAS'!I26</f>
        <v>0.29813877268919853</v>
      </c>
      <c r="K12" s="16">
        <f>'RAZONES FINANCIERAS'!J26</f>
        <v>0.33531352234962364</v>
      </c>
      <c r="L12" s="16">
        <f>'RAZONES FINANCIERAS'!K26</f>
        <v>0.24254722550998739</v>
      </c>
      <c r="M12" s="16">
        <f>'RAZONES FINANCIERAS'!L26</f>
        <v>1.35346077087881E-2</v>
      </c>
      <c r="N12" s="16">
        <f>'RAZONES FINANCIERAS'!M26</f>
        <v>0.25608183321877548</v>
      </c>
      <c r="O12" s="17">
        <f>'RAZONES FINANCIERAS'!N26</f>
        <v>2.2178271822893572</v>
      </c>
    </row>
    <row r="16" spans="1:18" x14ac:dyDescent="0.25">
      <c r="M16" s="2"/>
      <c r="N16" s="2"/>
      <c r="O16" s="2"/>
      <c r="P16" s="2"/>
      <c r="Q16" s="2"/>
      <c r="R16" s="2"/>
    </row>
    <row r="17" spans="13:18" x14ac:dyDescent="0.25">
      <c r="M17" s="2"/>
      <c r="N17" s="2"/>
      <c r="O17" s="2"/>
      <c r="P17" s="2"/>
      <c r="Q17" s="2"/>
      <c r="R17" s="2"/>
    </row>
    <row r="18" spans="13:18" x14ac:dyDescent="0.25">
      <c r="M18" s="2"/>
      <c r="N18" s="2"/>
      <c r="O18" s="2"/>
      <c r="P18" s="2"/>
      <c r="Q18" s="2"/>
      <c r="R18" s="2"/>
    </row>
    <row r="19" spans="13:18" x14ac:dyDescent="0.25">
      <c r="M19" s="2"/>
      <c r="N19" s="2"/>
      <c r="O19" s="2"/>
      <c r="P19" s="2"/>
      <c r="Q19" s="2"/>
      <c r="R19" s="2"/>
    </row>
    <row r="20" spans="13:18" x14ac:dyDescent="0.25">
      <c r="M20" s="2"/>
      <c r="N20" s="2"/>
      <c r="O20" s="2"/>
      <c r="P20" s="2"/>
      <c r="Q20" s="2"/>
      <c r="R20" s="2"/>
    </row>
    <row r="21" spans="13:18" x14ac:dyDescent="0.25">
      <c r="M21" s="2"/>
      <c r="N21" s="2"/>
      <c r="O21" s="2"/>
      <c r="P21" s="2"/>
      <c r="Q21" s="2"/>
      <c r="R21" s="2"/>
    </row>
    <row r="22" spans="13:18" x14ac:dyDescent="0.25">
      <c r="M22" s="2"/>
      <c r="N22" s="2"/>
      <c r="O22" s="2"/>
      <c r="P22" s="2"/>
      <c r="Q22" s="2"/>
      <c r="R22" s="2"/>
    </row>
    <row r="23" spans="13:18" x14ac:dyDescent="0.25">
      <c r="M23" s="2"/>
      <c r="N23" s="2"/>
      <c r="O23" s="2"/>
      <c r="P23" s="2"/>
      <c r="Q23" s="2"/>
      <c r="R23" s="2"/>
    </row>
    <row r="24" spans="13:18" x14ac:dyDescent="0.25">
      <c r="M24" s="2"/>
      <c r="N24" s="2"/>
      <c r="O24" s="2"/>
      <c r="P24" s="2"/>
      <c r="Q24" s="2"/>
      <c r="R24" s="2"/>
    </row>
    <row r="25" spans="13:18" x14ac:dyDescent="0.25">
      <c r="M25" s="2"/>
      <c r="N25" s="2"/>
      <c r="O25" s="2"/>
      <c r="P25" s="2"/>
      <c r="Q25" s="2"/>
      <c r="R25" s="2"/>
    </row>
  </sheetData>
  <mergeCells count="4">
    <mergeCell ref="C1:D1"/>
    <mergeCell ref="F1:G1"/>
    <mergeCell ref="I1:J1"/>
    <mergeCell ref="L1:M1"/>
  </mergeCell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5"/>
  <sheetViews>
    <sheetView showGridLines="0" tabSelected="1" workbookViewId="0"/>
  </sheetViews>
  <sheetFormatPr baseColWidth="10" defaultRowHeight="15" x14ac:dyDescent="0.25"/>
  <cols>
    <col min="1" max="1" width="3.85546875" customWidth="1"/>
    <col min="2" max="2" width="25" customWidth="1"/>
    <col min="3" max="3" width="11.42578125" hidden="1" customWidth="1"/>
    <col min="4" max="4" width="14" hidden="1" customWidth="1"/>
    <col min="5" max="5" width="12" customWidth="1"/>
    <col min="6" max="7" width="11.42578125" hidden="1" customWidth="1"/>
    <col min="8" max="8" width="11.5703125" customWidth="1"/>
    <col min="9" max="10" width="11.42578125" hidden="1" customWidth="1"/>
    <col min="11" max="11" width="13.5703125" customWidth="1"/>
    <col min="12" max="12" width="15.28515625" hidden="1" customWidth="1"/>
    <col min="13" max="13" width="13.140625" hidden="1" customWidth="1"/>
    <col min="14" max="14" width="14.140625" customWidth="1"/>
    <col min="15" max="15" width="15.5703125" customWidth="1"/>
  </cols>
  <sheetData>
    <row r="1" spans="1:18" x14ac:dyDescent="0.25">
      <c r="C1" s="37" t="s">
        <v>32</v>
      </c>
      <c r="D1" s="37"/>
      <c r="F1" s="37" t="s">
        <v>33</v>
      </c>
      <c r="G1" s="37"/>
      <c r="I1" s="37" t="s">
        <v>34</v>
      </c>
      <c r="J1" s="37"/>
      <c r="L1" s="37" t="s">
        <v>35</v>
      </c>
      <c r="M1" s="37"/>
    </row>
    <row r="2" spans="1:18" ht="30" x14ac:dyDescent="0.25">
      <c r="A2" s="10" t="s">
        <v>40</v>
      </c>
      <c r="B2" s="12" t="s">
        <v>16</v>
      </c>
      <c r="C2" s="8" t="s">
        <v>21</v>
      </c>
      <c r="D2" s="8" t="s">
        <v>22</v>
      </c>
      <c r="E2" s="13" t="s">
        <v>46</v>
      </c>
      <c r="F2" s="8" t="s">
        <v>23</v>
      </c>
      <c r="G2" s="8" t="s">
        <v>24</v>
      </c>
      <c r="H2" s="6" t="s">
        <v>47</v>
      </c>
      <c r="I2" s="8" t="s">
        <v>25</v>
      </c>
      <c r="J2" s="8" t="s">
        <v>50</v>
      </c>
      <c r="K2" s="6" t="s">
        <v>48</v>
      </c>
      <c r="L2" s="8" t="s">
        <v>26</v>
      </c>
      <c r="M2" s="8" t="s">
        <v>27</v>
      </c>
      <c r="N2" s="6" t="s">
        <v>49</v>
      </c>
      <c r="O2" s="9" t="s">
        <v>36</v>
      </c>
    </row>
    <row r="3" spans="1:18" x14ac:dyDescent="0.25">
      <c r="A3" s="4">
        <v>1</v>
      </c>
      <c r="B3" s="11" t="str">
        <f>'RAZONES FINANCIERAS'!A3</f>
        <v>ALSEA</v>
      </c>
      <c r="C3" s="1">
        <f>'RAZONES FINANCIERAS'!B18</f>
        <v>-0.40254065973702152</v>
      </c>
      <c r="D3" s="1">
        <f>'RAZONES FINANCIERAS'!C18</f>
        <v>7.7392340899305634E-2</v>
      </c>
      <c r="E3" s="14">
        <f>'RAZONES FINANCIERAS'!D18</f>
        <v>-0.32514831883771589</v>
      </c>
      <c r="F3" s="14">
        <f>'RAZONES FINANCIERAS'!E18</f>
        <v>6</v>
      </c>
      <c r="G3" s="14">
        <f>'RAZONES FINANCIERAS'!F18</f>
        <v>0.17330176705809675</v>
      </c>
      <c r="H3" s="14">
        <f>'RAZONES FINANCIERAS'!G18</f>
        <v>6.1733017670580965</v>
      </c>
      <c r="I3" s="14">
        <f>'RAZONES FINANCIERAS'!H18</f>
        <v>6.5</v>
      </c>
      <c r="J3" s="14">
        <f>'RAZONES FINANCIERAS'!I18</f>
        <v>1.4990201728958596</v>
      </c>
      <c r="K3" s="14">
        <f>'RAZONES FINANCIERAS'!J18</f>
        <v>7.9990201728958592</v>
      </c>
      <c r="L3" s="14">
        <f>'RAZONES FINANCIERAS'!K18</f>
        <v>0.96570408521065987</v>
      </c>
      <c r="M3" s="14">
        <f>'RAZONES FINANCIERAS'!L18</f>
        <v>3</v>
      </c>
      <c r="N3" s="14">
        <f>'RAZONES FINANCIERAS'!M18</f>
        <v>3.96570408521066</v>
      </c>
      <c r="O3" s="15">
        <f>'RAZONES FINANCIERAS'!N18</f>
        <v>5.2005675034455194</v>
      </c>
    </row>
    <row r="4" spans="1:18" x14ac:dyDescent="0.25">
      <c r="A4" s="4">
        <v>2</v>
      </c>
      <c r="B4" s="11" t="str">
        <f>'RAZONES FINANCIERAS'!A9</f>
        <v>TELEVISA</v>
      </c>
      <c r="C4" s="1">
        <f>'RAZONES FINANCIERAS'!B24</f>
        <v>4.6079246812228458</v>
      </c>
      <c r="D4" s="1">
        <f>'RAZONES FINANCIERAS'!C24</f>
        <v>3.1391383800376067</v>
      </c>
      <c r="E4" s="14">
        <f>'RAZONES FINANCIERAS'!D24</f>
        <v>7.7470630612604525</v>
      </c>
      <c r="F4" s="14">
        <f>'RAZONES FINANCIERAS'!E24</f>
        <v>0.16828474454688125</v>
      </c>
      <c r="G4" s="14">
        <f>'RAZONES FINANCIERAS'!F24</f>
        <v>0.34978845108635714</v>
      </c>
      <c r="H4" s="14">
        <f>'RAZONES FINANCIERAS'!G24</f>
        <v>0.51807319563323839</v>
      </c>
      <c r="I4" s="14">
        <f>'RAZONES FINANCIERAS'!H24</f>
        <v>8.9555304546695622E-2</v>
      </c>
      <c r="J4" s="14">
        <f>'RAZONES FINANCIERAS'!I24</f>
        <v>1.4862587133691099</v>
      </c>
      <c r="K4" s="14">
        <f>'RAZONES FINANCIERAS'!J24</f>
        <v>1.5758140179158056</v>
      </c>
      <c r="L4" s="14">
        <f>'RAZONES FINANCIERAS'!K24</f>
        <v>2.9811466303509691</v>
      </c>
      <c r="M4" s="14">
        <f>'RAZONES FINANCIERAS'!L24</f>
        <v>1.1435382344091938E-2</v>
      </c>
      <c r="N4" s="14">
        <f>'RAZONES FINANCIERAS'!M24</f>
        <v>2.9925820126950611</v>
      </c>
      <c r="O4" s="15">
        <f>'RAZONES FINANCIERAS'!N24</f>
        <v>2.5286442971496337</v>
      </c>
    </row>
    <row r="5" spans="1:18" x14ac:dyDescent="0.25">
      <c r="A5" s="4">
        <v>3</v>
      </c>
      <c r="B5" s="11" t="str">
        <f>'RAZONES FINANCIERAS'!A4</f>
        <v>VOLARIS</v>
      </c>
      <c r="C5" s="1">
        <f>'RAZONES FINANCIERAS'!B19</f>
        <v>1.1795765238801803</v>
      </c>
      <c r="D5" s="1">
        <f>'RAZONES FINANCIERAS'!C19</f>
        <v>0.83365370863179611</v>
      </c>
      <c r="E5" s="14">
        <f>'RAZONES FINANCIERAS'!D19</f>
        <v>2.0132302325119764</v>
      </c>
      <c r="F5" s="14">
        <f>'RAZONES FINANCIERAS'!E19</f>
        <v>0.13705673805450966</v>
      </c>
      <c r="G5" s="14">
        <f>'RAZONES FINANCIERAS'!F19</f>
        <v>0.53439018175883146</v>
      </c>
      <c r="H5" s="14">
        <f>'RAZONES FINANCIERAS'!G19</f>
        <v>0.67144691981334115</v>
      </c>
      <c r="I5" s="14">
        <f>'RAZONES FINANCIERAS'!H19</f>
        <v>0.11242621385812479</v>
      </c>
      <c r="J5" s="14">
        <f>'RAZONES FINANCIERAS'!I19</f>
        <v>3.5</v>
      </c>
      <c r="K5" s="14">
        <f>'RAZONES FINANCIERAS'!J19</f>
        <v>3.6124262138581247</v>
      </c>
      <c r="L5" s="14">
        <f>'RAZONES FINANCIERAS'!K19</f>
        <v>7</v>
      </c>
      <c r="M5" s="14">
        <f>'RAZONES FINANCIERAS'!L19</f>
        <v>7.4926943375486138E-2</v>
      </c>
      <c r="N5" s="14">
        <f>'RAZONES FINANCIERAS'!M19</f>
        <v>7.0749269433754858</v>
      </c>
      <c r="O5" s="15">
        <f>'RAZONES FINANCIERAS'!N19</f>
        <v>2.4624453729227174</v>
      </c>
    </row>
    <row r="6" spans="1:18" x14ac:dyDescent="0.25">
      <c r="A6" s="4">
        <v>4</v>
      </c>
      <c r="B6" s="11" t="str">
        <f>'RAZONES FINANCIERAS'!A11</f>
        <v>LALA</v>
      </c>
      <c r="C6" s="1">
        <f>'RAZONES FINANCIERAS'!B26</f>
        <v>5.5</v>
      </c>
      <c r="D6" s="1">
        <f>'RAZONES FINANCIERAS'!C26</f>
        <v>4.5</v>
      </c>
      <c r="E6" s="14">
        <f>'RAZONES FINANCIERAS'!D26</f>
        <v>10</v>
      </c>
      <c r="F6" s="14">
        <f>'RAZONES FINANCIERAS'!E26</f>
        <v>0.11427695079481587</v>
      </c>
      <c r="G6" s="14">
        <f>'RAZONES FINANCIERAS'!F26</f>
        <v>0.11478540486166518</v>
      </c>
      <c r="H6" s="14">
        <f>'RAZONES FINANCIERAS'!G26</f>
        <v>0.22906235565648103</v>
      </c>
      <c r="I6" s="14">
        <f>'RAZONES FINANCIERAS'!H26</f>
        <v>3.7174749660425138E-2</v>
      </c>
      <c r="J6" s="14">
        <f>'RAZONES FINANCIERAS'!I26</f>
        <v>0.29813877268919853</v>
      </c>
      <c r="K6" s="14">
        <f>'RAZONES FINANCIERAS'!J26</f>
        <v>0.33531352234962364</v>
      </c>
      <c r="L6" s="14">
        <f>'RAZONES FINANCIERAS'!K26</f>
        <v>0.24254722550998739</v>
      </c>
      <c r="M6" s="14">
        <f>'RAZONES FINANCIERAS'!L26</f>
        <v>1.35346077087881E-2</v>
      </c>
      <c r="N6" s="14">
        <f>'RAZONES FINANCIERAS'!M26</f>
        <v>0.25608183321877548</v>
      </c>
      <c r="O6" s="15">
        <f>'RAZONES FINANCIERAS'!N26</f>
        <v>2.2178271822893572</v>
      </c>
    </row>
    <row r="7" spans="1:18" x14ac:dyDescent="0.25">
      <c r="A7" s="4">
        <v>5</v>
      </c>
      <c r="B7" s="11" t="str">
        <f>'RAZONES FINANCIERAS'!A8</f>
        <v>AXTEL</v>
      </c>
      <c r="C7" s="1">
        <f>'RAZONES FINANCIERAS'!B23</f>
        <v>3.373367577340463</v>
      </c>
      <c r="D7" s="1">
        <f>'RAZONES FINANCIERAS'!C23</f>
        <v>2.3011992758605699</v>
      </c>
      <c r="E7" s="14">
        <f>'RAZONES FINANCIERAS'!D23</f>
        <v>5.6745668532010329</v>
      </c>
      <c r="F7" s="14">
        <f>'RAZONES FINANCIERAS'!E23</f>
        <v>-3.4063023096154013E-2</v>
      </c>
      <c r="G7" s="14">
        <f>'RAZONES FINANCIERAS'!F23</f>
        <v>-9.2071416043650656E-2</v>
      </c>
      <c r="H7" s="14">
        <f>'RAZONES FINANCIERAS'!G23</f>
        <v>-0.12613443913980465</v>
      </c>
      <c r="I7" s="14">
        <f>'RAZONES FINANCIERAS'!H23</f>
        <v>0.10087119641306423</v>
      </c>
      <c r="J7" s="14">
        <f>'RAZONES FINANCIERAS'!I23</f>
        <v>2.1769636910223613</v>
      </c>
      <c r="K7" s="14">
        <f>'RAZONES FINANCIERAS'!J23</f>
        <v>2.2778348874354255</v>
      </c>
      <c r="L7" s="14">
        <f>'RAZONES FINANCIERAS'!K23</f>
        <v>2.8230235541091369</v>
      </c>
      <c r="M7" s="14">
        <f>'RAZONES FINANCIERAS'!L23</f>
        <v>7.6238628639796284E-4</v>
      </c>
      <c r="N7" s="14">
        <f>'RAZONES FINANCIERAS'!M23</f>
        <v>2.8237859403955348</v>
      </c>
      <c r="O7" s="15">
        <f>'RAZONES FINANCIERAS'!N23</f>
        <v>2.0501886552544661</v>
      </c>
    </row>
    <row r="8" spans="1:18" x14ac:dyDescent="0.25">
      <c r="A8" s="4">
        <v>6</v>
      </c>
      <c r="B8" s="11" t="str">
        <f>'RAZONES FINANCIERAS'!A12</f>
        <v>HERDEZ</v>
      </c>
      <c r="C8" s="1">
        <f>'RAZONES FINANCIERAS'!B27</f>
        <v>3.6540653855298246</v>
      </c>
      <c r="D8" s="1">
        <f>'RAZONES FINANCIERAS'!C27</f>
        <v>4.0287359772776945</v>
      </c>
      <c r="E8" s="14">
        <f>'RAZONES FINANCIERAS'!D27</f>
        <v>7.6828013628075187</v>
      </c>
      <c r="F8" s="14">
        <f>'RAZONES FINANCIERAS'!E27</f>
        <v>0.20352753549059874</v>
      </c>
      <c r="G8" s="14">
        <f>'RAZONES FINANCIERAS'!F27</f>
        <v>0.26249138799507576</v>
      </c>
      <c r="H8" s="14">
        <f>'RAZONES FINANCIERAS'!G27</f>
        <v>0.46601892348567453</v>
      </c>
      <c r="I8" s="14">
        <f>'RAZONES FINANCIERAS'!H27</f>
        <v>5.9594695809095592E-2</v>
      </c>
      <c r="J8" s="14">
        <f>'RAZONES FINANCIERAS'!I27</f>
        <v>0.61367986331486335</v>
      </c>
      <c r="K8" s="14">
        <f>'RAZONES FINANCIERAS'!J27</f>
        <v>0.67327455912395895</v>
      </c>
      <c r="L8" s="14">
        <f>'RAZONES FINANCIERAS'!K27</f>
        <v>0.40380685876448391</v>
      </c>
      <c r="M8" s="14">
        <f>'RAZONES FINANCIERAS'!L27</f>
        <v>2.4498968283333471E-2</v>
      </c>
      <c r="N8" s="14">
        <f>'RAZONES FINANCIERAS'!M27</f>
        <v>0.42830582704781739</v>
      </c>
      <c r="O8" s="15">
        <f>'RAZONES FINANCIERAS'!N27</f>
        <v>1.9677807923977431</v>
      </c>
    </row>
    <row r="9" spans="1:18" x14ac:dyDescent="0.25">
      <c r="A9" s="4">
        <v>7</v>
      </c>
      <c r="B9" s="11" t="str">
        <f>'RAZONES FINANCIERAS'!A10</f>
        <v>FEMSA</v>
      </c>
      <c r="C9" s="1">
        <f>'RAZONES FINANCIERAS'!B25</f>
        <v>2.5476912608183531</v>
      </c>
      <c r="D9" s="1">
        <f>'RAZONES FINANCIERAS'!C25</f>
        <v>2.3369253697322385</v>
      </c>
      <c r="E9" s="14">
        <f>'RAZONES FINANCIERAS'!D25</f>
        <v>4.8846166305505916</v>
      </c>
      <c r="F9" s="14">
        <f>'RAZONES FINANCIERAS'!E25</f>
        <v>0.19139182308368169</v>
      </c>
      <c r="G9" s="14">
        <f>'RAZONES FINANCIERAS'!F25</f>
        <v>0.2681732523322376</v>
      </c>
      <c r="H9" s="14">
        <f>'RAZONES FINANCIERAS'!G25</f>
        <v>0.45956507541591929</v>
      </c>
      <c r="I9" s="14">
        <f>'RAZONES FINANCIERAS'!H25</f>
        <v>6.5874791482886316E-2</v>
      </c>
      <c r="J9" s="14">
        <f>'RAZONES FINANCIERAS'!I25</f>
        <v>0.73697662502054873</v>
      </c>
      <c r="K9" s="14">
        <f>'RAZONES FINANCIERAS'!J25</f>
        <v>0.80285141650343506</v>
      </c>
      <c r="L9" s="14">
        <f>'RAZONES FINANCIERAS'!K25</f>
        <v>0.80880132464763987</v>
      </c>
      <c r="M9" s="14">
        <f>'RAZONES FINANCIERAS'!L25</f>
        <v>2.6764852558138399E-2</v>
      </c>
      <c r="N9" s="14">
        <f>'RAZONES FINANCIERAS'!M25</f>
        <v>0.8355661772057783</v>
      </c>
      <c r="O9" s="15">
        <f>'RAZONES FINANCIERAS'!N25</f>
        <v>1.4851613989480945</v>
      </c>
    </row>
    <row r="10" spans="1:18" x14ac:dyDescent="0.25">
      <c r="A10" s="4">
        <v>8</v>
      </c>
      <c r="B10" s="11" t="str">
        <f>'RAZONES FINANCIERAS'!A7</f>
        <v>WALMEX</v>
      </c>
      <c r="C10" s="1">
        <f>'RAZONES FINANCIERAS'!B22</f>
        <v>1.4643633384381554</v>
      </c>
      <c r="D10" s="1">
        <f>'RAZONES FINANCIERAS'!C22</f>
        <v>2.047289313880837</v>
      </c>
      <c r="E10" s="14">
        <f>'RAZONES FINANCIERAS'!D22</f>
        <v>3.5116526523189924</v>
      </c>
      <c r="F10" s="14">
        <f>'RAZONES FINANCIERAS'!E22</f>
        <v>0.475167410584869</v>
      </c>
      <c r="G10" s="14">
        <f>'RAZONES FINANCIERAS'!F22</f>
        <v>0.57204373581423373</v>
      </c>
      <c r="H10" s="14">
        <f>'RAZONES FINANCIERAS'!G22</f>
        <v>1.0472111463991027</v>
      </c>
      <c r="I10" s="14">
        <f>'RAZONES FINANCIERAS'!H22</f>
        <v>5.3953212600546745E-2</v>
      </c>
      <c r="J10" s="14">
        <f>'RAZONES FINANCIERAS'!I22</f>
        <v>0.51861166016239924</v>
      </c>
      <c r="K10" s="14">
        <f>'RAZONES FINANCIERAS'!J22</f>
        <v>0.57256487276294599</v>
      </c>
      <c r="L10" s="14">
        <f>'RAZONES FINANCIERAS'!K22</f>
        <v>0.74812490179616464</v>
      </c>
      <c r="M10" s="14">
        <f>'RAZONES FINANCIERAS'!L22</f>
        <v>6.5014165798730164E-2</v>
      </c>
      <c r="N10" s="14">
        <f>'RAZONES FINANCIERAS'!M22</f>
        <v>0.81313906759489485</v>
      </c>
      <c r="O10" s="15">
        <f>'RAZONES FINANCIERAS'!N22</f>
        <v>1.3742983576118131</v>
      </c>
    </row>
    <row r="11" spans="1:18" x14ac:dyDescent="0.25">
      <c r="A11" s="4">
        <v>9</v>
      </c>
      <c r="B11" s="11" t="str">
        <f>'RAZONES FINANCIERAS'!A6</f>
        <v>ELEKTRA</v>
      </c>
      <c r="C11" s="1">
        <f>'RAZONES FINANCIERAS'!B21</f>
        <v>3.2614546157505337</v>
      </c>
      <c r="D11" s="1">
        <f>'RAZONES FINANCIERAS'!C21</f>
        <v>2.3114139873658104</v>
      </c>
      <c r="E11" s="14">
        <f>'RAZONES FINANCIERAS'!D21</f>
        <v>5.5728686031163441</v>
      </c>
      <c r="F11" s="14">
        <f>'RAZONES FINANCIERAS'!E21</f>
        <v>-0.44715782081911415</v>
      </c>
      <c r="G11" s="14">
        <f>'RAZONES FINANCIERAS'!F21</f>
        <v>-1.1930881682649996</v>
      </c>
      <c r="H11" s="14">
        <f>'RAZONES FINANCIERAS'!G21</f>
        <v>-1.6402459890841139</v>
      </c>
      <c r="I11" s="14">
        <f>'RAZONES FINANCIERAS'!H21</f>
        <v>0.10037971386789267</v>
      </c>
      <c r="J11" s="14">
        <f>'RAZONES FINANCIERAS'!I21</f>
        <v>2.1384546339141153</v>
      </c>
      <c r="K11" s="14">
        <f>'RAZONES FINANCIERAS'!J21</f>
        <v>2.2388343477820078</v>
      </c>
      <c r="L11" s="14">
        <f>'RAZONES FINANCIERAS'!K21</f>
        <v>0.43177495676846517</v>
      </c>
      <c r="M11" s="14">
        <f>'RAZONES FINANCIERAS'!L21</f>
        <v>1.5461250987717489E-2</v>
      </c>
      <c r="N11" s="14">
        <f>'RAZONES FINANCIERAS'!M21</f>
        <v>0.44723620775618267</v>
      </c>
      <c r="O11" s="15">
        <f>'RAZONES FINANCIERAS'!N21</f>
        <v>1.174849250099844</v>
      </c>
    </row>
    <row r="12" spans="1:18" x14ac:dyDescent="0.25">
      <c r="A12" s="4">
        <v>10</v>
      </c>
      <c r="B12" s="7" t="str">
        <f>'RAZONES FINANCIERAS'!A5</f>
        <v>PEMEX</v>
      </c>
      <c r="C12" s="5">
        <f>'RAZONES FINANCIERAS'!B20</f>
        <v>3.290185268404731</v>
      </c>
      <c r="D12" s="5">
        <f>'RAZONES FINANCIERAS'!C20</f>
        <v>2.4605058406586537</v>
      </c>
      <c r="E12" s="16">
        <f>'RAZONES FINANCIERAS'!D20</f>
        <v>5.7506911090633848</v>
      </c>
      <c r="F12" s="16">
        <f>'RAZONES FINANCIERAS'!E20</f>
        <v>-0.27311105546628384</v>
      </c>
      <c r="G12" s="16">
        <f>'RAZONES FINANCIERAS'!F20</f>
        <v>4</v>
      </c>
      <c r="H12" s="16">
        <f>'RAZONES FINANCIERAS'!G20</f>
        <v>3.7268889445337163</v>
      </c>
      <c r="I12" s="16">
        <f>'RAZONES FINANCIERAS'!H20</f>
        <v>0.14549085173429327</v>
      </c>
      <c r="J12" s="16">
        <f>'RAZONES FINANCIERAS'!I20</f>
        <v>-17.013700253191622</v>
      </c>
      <c r="K12" s="16">
        <f>'RAZONES FINANCIERAS'!J20</f>
        <v>-16.868209401457328</v>
      </c>
      <c r="L12" s="16">
        <f>'RAZONES FINANCIERAS'!K20</f>
        <v>1.5628954736701359</v>
      </c>
      <c r="M12" s="16">
        <f>'RAZONES FINANCIERAS'!L20</f>
        <v>2.9910868207440298E-2</v>
      </c>
      <c r="N12" s="16">
        <f>'RAZONES FINANCIERAS'!M20</f>
        <v>1.5928063418775762</v>
      </c>
      <c r="O12" s="17">
        <f>'RAZONES FINANCIERAS'!N20</f>
        <v>-2.260288386623277</v>
      </c>
    </row>
    <row r="16" spans="1:18" x14ac:dyDescent="0.25">
      <c r="M16" s="2"/>
      <c r="N16" s="2"/>
      <c r="O16" s="2"/>
      <c r="P16" s="2"/>
      <c r="Q16" s="2"/>
      <c r="R16" s="2"/>
    </row>
    <row r="17" spans="13:18" x14ac:dyDescent="0.25">
      <c r="M17" s="2"/>
      <c r="N17" s="2"/>
      <c r="O17" s="2"/>
      <c r="P17" s="2"/>
      <c r="Q17" s="2"/>
      <c r="R17" s="2"/>
    </row>
    <row r="18" spans="13:18" x14ac:dyDescent="0.25">
      <c r="M18" s="2"/>
      <c r="N18" s="2"/>
      <c r="O18" s="2"/>
      <c r="P18" s="2"/>
      <c r="Q18" s="2"/>
      <c r="R18" s="2"/>
    </row>
    <row r="19" spans="13:18" x14ac:dyDescent="0.25">
      <c r="M19" s="2"/>
      <c r="N19" s="2"/>
      <c r="O19" s="2"/>
      <c r="P19" s="2"/>
      <c r="Q19" s="2"/>
      <c r="R19" s="2"/>
    </row>
    <row r="20" spans="13:18" x14ac:dyDescent="0.25">
      <c r="M20" s="2"/>
      <c r="N20" s="2"/>
      <c r="O20" s="2"/>
      <c r="P20" s="2"/>
      <c r="Q20" s="2"/>
      <c r="R20" s="2"/>
    </row>
    <row r="21" spans="13:18" x14ac:dyDescent="0.25">
      <c r="M21" s="2"/>
      <c r="N21" s="2"/>
      <c r="O21" s="2"/>
      <c r="P21" s="2"/>
      <c r="Q21" s="2"/>
      <c r="R21" s="2"/>
    </row>
    <row r="22" spans="13:18" x14ac:dyDescent="0.25">
      <c r="M22" s="2"/>
      <c r="N22" s="2"/>
      <c r="O22" s="2"/>
      <c r="P22" s="2"/>
      <c r="Q22" s="2"/>
      <c r="R22" s="2"/>
    </row>
    <row r="23" spans="13:18" x14ac:dyDescent="0.25">
      <c r="M23" s="2"/>
      <c r="N23" s="2"/>
      <c r="O23" s="2"/>
      <c r="P23" s="2"/>
      <c r="Q23" s="2"/>
      <c r="R23" s="2"/>
    </row>
    <row r="24" spans="13:18" x14ac:dyDescent="0.25">
      <c r="M24" s="2"/>
      <c r="N24" s="2"/>
      <c r="O24" s="2"/>
      <c r="P24" s="2"/>
      <c r="Q24" s="2"/>
      <c r="R24" s="2"/>
    </row>
    <row r="25" spans="13:18" x14ac:dyDescent="0.25">
      <c r="M25" s="2"/>
      <c r="N25" s="2"/>
      <c r="O25" s="2"/>
      <c r="P25" s="2"/>
      <c r="Q25" s="2"/>
      <c r="R25" s="2"/>
    </row>
  </sheetData>
  <mergeCells count="4">
    <mergeCell ref="C1:D1"/>
    <mergeCell ref="F1:G1"/>
    <mergeCell ref="I1:J1"/>
    <mergeCell ref="L1:M1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BASE DATOS</vt:lpstr>
      <vt:lpstr>INICIO</vt:lpstr>
      <vt:lpstr>RAZONES FINANCIERAS</vt:lpstr>
      <vt:lpstr>GRAFICAS</vt:lpstr>
      <vt:lpstr>RANKING LIQ</vt:lpstr>
      <vt:lpstr>RANKING RENT</vt:lpstr>
      <vt:lpstr>RANKING DEUDA</vt:lpstr>
      <vt:lpstr>RANKING UTILIDAD</vt:lpstr>
      <vt:lpstr>RANKING 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Angeles</dc:creator>
  <cp:lastModifiedBy>Erick Efrain Vargas Romero</cp:lastModifiedBy>
  <dcterms:created xsi:type="dcterms:W3CDTF">2017-04-06T23:03:24Z</dcterms:created>
  <dcterms:modified xsi:type="dcterms:W3CDTF">2017-06-09T16:06:23Z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1c6fe7b8-5eeb-47bd-ac2c-76177ca443d5</vt:lpwstr>
  </property>
</Properties>
</file>