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sldx" ContentType="application/vnd.openxmlformats-officedocument.presentationml.slide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5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067" codeName="{39D6815B-2028-34A9-64EF-03FDC4A383A5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erick\Desktop\"/>
    </mc:Choice>
  </mc:AlternateContent>
  <bookViews>
    <workbookView xWindow="0" yWindow="0" windowWidth="20490" windowHeight="7755"/>
  </bookViews>
  <sheets>
    <sheet name="Inicio" sheetId="5" r:id="rId1"/>
    <sheet name="Mínimos" sheetId="1" r:id="rId2"/>
    <sheet name="Datos" sheetId="3" r:id="rId3"/>
    <sheet name="VentasProm" sheetId="2" r:id="rId4"/>
    <sheet name="Pronostico" sheetId="4" r:id="rId5"/>
  </sheet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5" i="4" l="1"/>
  <c r="D56" i="4"/>
  <c r="D57" i="4"/>
  <c r="D58" i="4"/>
  <c r="E58" i="4" s="1"/>
  <c r="D59" i="4"/>
  <c r="D60" i="4"/>
  <c r="D61" i="4"/>
  <c r="D62" i="4"/>
  <c r="E62" i="4" s="1"/>
  <c r="D63" i="4"/>
  <c r="D64" i="4"/>
  <c r="D65" i="4"/>
  <c r="D66" i="4"/>
  <c r="E66" i="4" s="1"/>
  <c r="C55" i="4"/>
  <c r="C56" i="4"/>
  <c r="C57" i="4"/>
  <c r="C58" i="4"/>
  <c r="C59" i="4"/>
  <c r="C60" i="4"/>
  <c r="C61" i="4"/>
  <c r="C62" i="4"/>
  <c r="C63" i="4"/>
  <c r="C64" i="4"/>
  <c r="C65" i="4"/>
  <c r="C66" i="4"/>
  <c r="N39" i="4"/>
  <c r="N40" i="4"/>
  <c r="N41" i="4"/>
  <c r="N42" i="4"/>
  <c r="N43" i="4"/>
  <c r="N44" i="4"/>
  <c r="N45" i="4"/>
  <c r="N46" i="4"/>
  <c r="N47" i="4"/>
  <c r="N48" i="4"/>
  <c r="N49" i="4"/>
  <c r="O49" i="4" s="1"/>
  <c r="N50" i="4"/>
  <c r="M39" i="4"/>
  <c r="M40" i="4"/>
  <c r="M41" i="4"/>
  <c r="O41" i="4" s="1"/>
  <c r="M42" i="4"/>
  <c r="M43" i="4"/>
  <c r="O43" i="4" s="1"/>
  <c r="M44" i="4"/>
  <c r="M45" i="4"/>
  <c r="O45" i="4" s="1"/>
  <c r="M46" i="4"/>
  <c r="M47" i="4"/>
  <c r="M48" i="4"/>
  <c r="M49" i="4"/>
  <c r="M50" i="4"/>
  <c r="I39" i="4"/>
  <c r="I40" i="4"/>
  <c r="I41" i="4"/>
  <c r="I42" i="4"/>
  <c r="I43" i="4"/>
  <c r="I44" i="4"/>
  <c r="I45" i="4"/>
  <c r="I46" i="4"/>
  <c r="I47" i="4"/>
  <c r="I48" i="4"/>
  <c r="I49" i="4"/>
  <c r="I50" i="4"/>
  <c r="H39" i="4"/>
  <c r="H40" i="4"/>
  <c r="H41" i="4"/>
  <c r="H42" i="4"/>
  <c r="H43" i="4"/>
  <c r="H44" i="4"/>
  <c r="H45" i="4"/>
  <c r="H46" i="4"/>
  <c r="H47" i="4"/>
  <c r="J47" i="4" s="1"/>
  <c r="H48" i="4"/>
  <c r="H49" i="4"/>
  <c r="J49" i="4" s="1"/>
  <c r="H50" i="4"/>
  <c r="D39" i="4"/>
  <c r="D40" i="4"/>
  <c r="D41" i="4"/>
  <c r="D42" i="4"/>
  <c r="D43" i="4"/>
  <c r="D44" i="4"/>
  <c r="D45" i="4"/>
  <c r="D46" i="4"/>
  <c r="D47" i="4"/>
  <c r="D48" i="4"/>
  <c r="D49" i="4"/>
  <c r="D50" i="4"/>
  <c r="C39" i="4"/>
  <c r="E39" i="4" s="1"/>
  <c r="C40" i="4"/>
  <c r="C41" i="4"/>
  <c r="C42" i="4"/>
  <c r="C43" i="4"/>
  <c r="C44" i="4"/>
  <c r="C45" i="4"/>
  <c r="E45" i="4" s="1"/>
  <c r="C46" i="4"/>
  <c r="C47" i="4"/>
  <c r="E47" i="4" s="1"/>
  <c r="C48" i="4"/>
  <c r="C49" i="4"/>
  <c r="E49" i="4" s="1"/>
  <c r="C50" i="4"/>
  <c r="N23" i="4"/>
  <c r="N24" i="4"/>
  <c r="N25" i="4"/>
  <c r="N26" i="4"/>
  <c r="N27" i="4"/>
  <c r="N28" i="4"/>
  <c r="N29" i="4"/>
  <c r="N30" i="4"/>
  <c r="N31" i="4"/>
  <c r="N32" i="4"/>
  <c r="N33" i="4"/>
  <c r="N34" i="4"/>
  <c r="M23" i="4"/>
  <c r="M24" i="4"/>
  <c r="M25" i="4"/>
  <c r="O25" i="4" s="1"/>
  <c r="M26" i="4"/>
  <c r="M27" i="4"/>
  <c r="O27" i="4" s="1"/>
  <c r="M28" i="4"/>
  <c r="M29" i="4"/>
  <c r="O29" i="4" s="1"/>
  <c r="M30" i="4"/>
  <c r="M31" i="4"/>
  <c r="M32" i="4"/>
  <c r="M33" i="4"/>
  <c r="M34" i="4"/>
  <c r="I23" i="4"/>
  <c r="I24" i="4"/>
  <c r="I25" i="4"/>
  <c r="I26" i="4"/>
  <c r="I27" i="4"/>
  <c r="I28" i="4"/>
  <c r="I29" i="4"/>
  <c r="I30" i="4"/>
  <c r="I31" i="4"/>
  <c r="I32" i="4"/>
  <c r="I33" i="4"/>
  <c r="I34" i="4"/>
  <c r="H23" i="4"/>
  <c r="H24" i="4"/>
  <c r="H25" i="4"/>
  <c r="H26" i="4"/>
  <c r="H27" i="4"/>
  <c r="H28" i="4"/>
  <c r="H29" i="4"/>
  <c r="H30" i="4"/>
  <c r="H31" i="4"/>
  <c r="H32" i="4"/>
  <c r="H33" i="4"/>
  <c r="H34" i="4"/>
  <c r="D23" i="4"/>
  <c r="D24" i="4"/>
  <c r="D25" i="4"/>
  <c r="D26" i="4"/>
  <c r="E26" i="4" s="1"/>
  <c r="D27" i="4"/>
  <c r="D28" i="4"/>
  <c r="D29" i="4"/>
  <c r="D30" i="4"/>
  <c r="E30" i="4" s="1"/>
  <c r="D31" i="4"/>
  <c r="D32" i="4"/>
  <c r="D33" i="4"/>
  <c r="D34" i="4"/>
  <c r="E34" i="4" s="1"/>
  <c r="C23" i="4"/>
  <c r="C24" i="4"/>
  <c r="C25" i="4"/>
  <c r="C26" i="4"/>
  <c r="C27" i="4"/>
  <c r="C28" i="4"/>
  <c r="C29" i="4"/>
  <c r="C30" i="4"/>
  <c r="C31" i="4"/>
  <c r="E31" i="4" s="1"/>
  <c r="C32" i="4"/>
  <c r="C33" i="4"/>
  <c r="C34" i="4"/>
  <c r="N7" i="4"/>
  <c r="N8" i="4"/>
  <c r="N9" i="4"/>
  <c r="N10" i="4"/>
  <c r="N11" i="4"/>
  <c r="N12" i="4"/>
  <c r="N13" i="4"/>
  <c r="N14" i="4"/>
  <c r="N15" i="4"/>
  <c r="N16" i="4"/>
  <c r="N17" i="4"/>
  <c r="N18" i="4"/>
  <c r="M7" i="4"/>
  <c r="M8" i="4"/>
  <c r="M9" i="4"/>
  <c r="M10" i="4"/>
  <c r="M11" i="4"/>
  <c r="M12" i="4"/>
  <c r="M13" i="4"/>
  <c r="M14" i="4"/>
  <c r="M15" i="4"/>
  <c r="M16" i="4"/>
  <c r="M17" i="4"/>
  <c r="M18" i="4"/>
  <c r="I7" i="4"/>
  <c r="I8" i="4"/>
  <c r="I9" i="4"/>
  <c r="I10" i="4"/>
  <c r="I11" i="4"/>
  <c r="I12" i="4"/>
  <c r="I13" i="4"/>
  <c r="I14" i="4"/>
  <c r="J14" i="4" s="1"/>
  <c r="I15" i="4"/>
  <c r="I16" i="4"/>
  <c r="I17" i="4"/>
  <c r="I18" i="4"/>
  <c r="H18" i="4"/>
  <c r="H17" i="4"/>
  <c r="J17" i="4" s="1"/>
  <c r="H16" i="4"/>
  <c r="H15" i="4"/>
  <c r="J15" i="4" s="1"/>
  <c r="H14" i="4"/>
  <c r="H13" i="4"/>
  <c r="J13" i="4" s="1"/>
  <c r="H12" i="4"/>
  <c r="J12" i="4" s="1"/>
  <c r="H11" i="4"/>
  <c r="J11" i="4" s="1"/>
  <c r="H10" i="4"/>
  <c r="H9" i="4"/>
  <c r="J9" i="4" s="1"/>
  <c r="H8" i="4"/>
  <c r="J8" i="4" s="1"/>
  <c r="H7" i="4"/>
  <c r="J7" i="4" s="1"/>
  <c r="J16" i="4"/>
  <c r="D7" i="4"/>
  <c r="D8" i="4"/>
  <c r="D9" i="4"/>
  <c r="D10" i="4"/>
  <c r="D11" i="4"/>
  <c r="D12" i="4"/>
  <c r="D13" i="4"/>
  <c r="D14" i="4"/>
  <c r="D15" i="4"/>
  <c r="D16" i="4"/>
  <c r="D17" i="4"/>
  <c r="D18" i="4"/>
  <c r="C18" i="4"/>
  <c r="C17" i="4"/>
  <c r="C16" i="4"/>
  <c r="C15" i="4"/>
  <c r="C14" i="4"/>
  <c r="C13" i="4"/>
  <c r="C12" i="4"/>
  <c r="C11" i="4"/>
  <c r="C10" i="4"/>
  <c r="C9" i="4"/>
  <c r="C8" i="4"/>
  <c r="C7" i="4"/>
  <c r="H55" i="4"/>
  <c r="E9" i="4"/>
  <c r="E8" i="4"/>
  <c r="E18" i="4"/>
  <c r="E65" i="4"/>
  <c r="E64" i="4"/>
  <c r="E63" i="4"/>
  <c r="E61" i="4"/>
  <c r="E60" i="4"/>
  <c r="E59" i="4"/>
  <c r="E57" i="4"/>
  <c r="E56" i="4"/>
  <c r="E55" i="4"/>
  <c r="O50" i="4"/>
  <c r="O46" i="4"/>
  <c r="O42" i="4"/>
  <c r="O40" i="4"/>
  <c r="O39" i="4"/>
  <c r="J48" i="4"/>
  <c r="J46" i="4"/>
  <c r="J45" i="4"/>
  <c r="J42" i="4"/>
  <c r="J41" i="4"/>
  <c r="J40" i="4"/>
  <c r="J39" i="4"/>
  <c r="E50" i="4"/>
  <c r="E48" i="4"/>
  <c r="E46" i="4"/>
  <c r="E44" i="4"/>
  <c r="E40" i="4"/>
  <c r="O34" i="4"/>
  <c r="O32" i="4"/>
  <c r="O26" i="4"/>
  <c r="O24" i="4"/>
  <c r="J34" i="4"/>
  <c r="J33" i="4"/>
  <c r="J30" i="4"/>
  <c r="J29" i="4"/>
  <c r="J26" i="4"/>
  <c r="J25" i="4"/>
  <c r="E33" i="4"/>
  <c r="E32" i="4"/>
  <c r="E29" i="4"/>
  <c r="E28" i="4"/>
  <c r="E27" i="4"/>
  <c r="E25" i="4"/>
  <c r="O10" i="4"/>
  <c r="H67" i="2"/>
  <c r="G67" i="2"/>
  <c r="B67" i="2"/>
  <c r="A67" i="2"/>
  <c r="N51" i="2"/>
  <c r="M51" i="2"/>
  <c r="H51" i="2"/>
  <c r="G51" i="2"/>
  <c r="B51" i="2"/>
  <c r="A51" i="2"/>
  <c r="N35" i="2"/>
  <c r="M35" i="2"/>
  <c r="H35" i="2"/>
  <c r="G35" i="2"/>
  <c r="B35" i="2"/>
  <c r="A35" i="2"/>
  <c r="N19" i="2"/>
  <c r="M19" i="2"/>
  <c r="H19" i="2"/>
  <c r="G19" i="2"/>
  <c r="A19" i="2"/>
  <c r="B19" i="2"/>
  <c r="C55" i="2"/>
  <c r="C56" i="2"/>
  <c r="C57" i="2"/>
  <c r="C58" i="2"/>
  <c r="D58" i="2" s="1"/>
  <c r="C59" i="2"/>
  <c r="C60" i="2"/>
  <c r="C61" i="2"/>
  <c r="C62" i="2"/>
  <c r="D62" i="2" s="1"/>
  <c r="C63" i="2"/>
  <c r="C64" i="2"/>
  <c r="C65" i="2"/>
  <c r="C54" i="2"/>
  <c r="B66" i="2"/>
  <c r="E66" i="2" s="1"/>
  <c r="E65" i="2"/>
  <c r="D65" i="2"/>
  <c r="E64" i="2"/>
  <c r="D64" i="2"/>
  <c r="E63" i="2"/>
  <c r="D63" i="2"/>
  <c r="E62" i="2"/>
  <c r="E61" i="2"/>
  <c r="D61" i="2"/>
  <c r="E60" i="2"/>
  <c r="D60" i="2"/>
  <c r="E59" i="2"/>
  <c r="D59" i="2"/>
  <c r="E58" i="2"/>
  <c r="E57" i="2"/>
  <c r="D57" i="2"/>
  <c r="E56" i="2"/>
  <c r="D56" i="2"/>
  <c r="E55" i="2"/>
  <c r="D55" i="2"/>
  <c r="E54" i="2"/>
  <c r="O39" i="2"/>
  <c r="O40" i="2"/>
  <c r="O41" i="2"/>
  <c r="O42" i="2"/>
  <c r="P42" i="2" s="1"/>
  <c r="O43" i="2"/>
  <c r="O44" i="2"/>
  <c r="O45" i="2"/>
  <c r="O46" i="2"/>
  <c r="P46" i="2" s="1"/>
  <c r="O47" i="2"/>
  <c r="O48" i="2"/>
  <c r="O49" i="2"/>
  <c r="O38" i="2"/>
  <c r="I39" i="2"/>
  <c r="I40" i="2"/>
  <c r="I41" i="2"/>
  <c r="I42" i="2"/>
  <c r="J42" i="2" s="1"/>
  <c r="I43" i="2"/>
  <c r="I44" i="2"/>
  <c r="I45" i="2"/>
  <c r="I46" i="2"/>
  <c r="J46" i="2" s="1"/>
  <c r="I47" i="2"/>
  <c r="I48" i="2"/>
  <c r="I49" i="2"/>
  <c r="I38" i="2"/>
  <c r="C39" i="2"/>
  <c r="C40" i="2"/>
  <c r="C41" i="2"/>
  <c r="C42" i="2"/>
  <c r="D42" i="2" s="1"/>
  <c r="C43" i="2"/>
  <c r="C44" i="2"/>
  <c r="C45" i="2"/>
  <c r="C46" i="2"/>
  <c r="D46" i="2" s="1"/>
  <c r="C47" i="2"/>
  <c r="C48" i="2"/>
  <c r="C49" i="2"/>
  <c r="C38" i="2"/>
  <c r="N50" i="2"/>
  <c r="Q50" i="2" s="1"/>
  <c r="Q49" i="2"/>
  <c r="P49" i="2"/>
  <c r="Q48" i="2"/>
  <c r="P48" i="2"/>
  <c r="Q47" i="2"/>
  <c r="P47" i="2"/>
  <c r="Q46" i="2"/>
  <c r="Q45" i="2"/>
  <c r="P45" i="2"/>
  <c r="Q44" i="2"/>
  <c r="P44" i="2"/>
  <c r="Q43" i="2"/>
  <c r="P43" i="2"/>
  <c r="Q42" i="2"/>
  <c r="Q41" i="2"/>
  <c r="P41" i="2"/>
  <c r="Q40" i="2"/>
  <c r="P40" i="2"/>
  <c r="Q39" i="2"/>
  <c r="P39" i="2"/>
  <c r="Q38" i="2"/>
  <c r="H50" i="2"/>
  <c r="K50" i="2" s="1"/>
  <c r="K49" i="2"/>
  <c r="J49" i="2"/>
  <c r="K48" i="2"/>
  <c r="J48" i="2"/>
  <c r="K47" i="2"/>
  <c r="J47" i="2"/>
  <c r="K46" i="2"/>
  <c r="K45" i="2"/>
  <c r="J45" i="2"/>
  <c r="K44" i="2"/>
  <c r="J44" i="2"/>
  <c r="K43" i="2"/>
  <c r="J43" i="2"/>
  <c r="K42" i="2"/>
  <c r="K41" i="2"/>
  <c r="J41" i="2"/>
  <c r="K40" i="2"/>
  <c r="J40" i="2"/>
  <c r="K39" i="2"/>
  <c r="J39" i="2"/>
  <c r="K38" i="2"/>
  <c r="B50" i="2"/>
  <c r="E50" i="2" s="1"/>
  <c r="E49" i="2"/>
  <c r="D49" i="2"/>
  <c r="E48" i="2"/>
  <c r="D48" i="2"/>
  <c r="E47" i="2"/>
  <c r="D47" i="2"/>
  <c r="E46" i="2"/>
  <c r="E45" i="2"/>
  <c r="D45" i="2"/>
  <c r="E44" i="2"/>
  <c r="D44" i="2"/>
  <c r="E43" i="2"/>
  <c r="D43" i="2"/>
  <c r="E42" i="2"/>
  <c r="E41" i="2"/>
  <c r="D41" i="2"/>
  <c r="E40" i="2"/>
  <c r="D40" i="2"/>
  <c r="E39" i="2"/>
  <c r="D39" i="2"/>
  <c r="E38" i="2"/>
  <c r="O23" i="2"/>
  <c r="O24" i="2"/>
  <c r="O25" i="2"/>
  <c r="O26" i="2"/>
  <c r="P26" i="2" s="1"/>
  <c r="O27" i="2"/>
  <c r="O28" i="2"/>
  <c r="O29" i="2"/>
  <c r="O30" i="2"/>
  <c r="P30" i="2" s="1"/>
  <c r="O31" i="2"/>
  <c r="O32" i="2"/>
  <c r="O33" i="2"/>
  <c r="O22" i="2"/>
  <c r="I24" i="2"/>
  <c r="I25" i="2"/>
  <c r="I26" i="2"/>
  <c r="I27" i="2"/>
  <c r="J27" i="2" s="1"/>
  <c r="I28" i="2"/>
  <c r="I29" i="2"/>
  <c r="I30" i="2"/>
  <c r="I31" i="2"/>
  <c r="J31" i="2" s="1"/>
  <c r="I32" i="2"/>
  <c r="I33" i="2"/>
  <c r="I23" i="2"/>
  <c r="C24" i="2"/>
  <c r="C25" i="2"/>
  <c r="C26" i="2"/>
  <c r="D26" i="2" s="1"/>
  <c r="C27" i="2"/>
  <c r="D27" i="2" s="1"/>
  <c r="C28" i="2"/>
  <c r="C29" i="2"/>
  <c r="C30" i="2"/>
  <c r="D30" i="2" s="1"/>
  <c r="C31" i="2"/>
  <c r="D31" i="2" s="1"/>
  <c r="C32" i="2"/>
  <c r="C33" i="2"/>
  <c r="C23" i="2"/>
  <c r="D23" i="2" s="1"/>
  <c r="C22" i="2"/>
  <c r="C34" i="2"/>
  <c r="N34" i="2"/>
  <c r="Q34" i="2" s="1"/>
  <c r="Q33" i="2"/>
  <c r="P33" i="2"/>
  <c r="Q32" i="2"/>
  <c r="P32" i="2"/>
  <c r="Q31" i="2"/>
  <c r="P31" i="2"/>
  <c r="Q30" i="2"/>
  <c r="Q29" i="2"/>
  <c r="P29" i="2"/>
  <c r="Q28" i="2"/>
  <c r="P28" i="2"/>
  <c r="Q27" i="2"/>
  <c r="P27" i="2"/>
  <c r="Q26" i="2"/>
  <c r="Q25" i="2"/>
  <c r="P25" i="2"/>
  <c r="Q24" i="2"/>
  <c r="P24" i="2"/>
  <c r="Q23" i="2"/>
  <c r="P23" i="2"/>
  <c r="Q22" i="2"/>
  <c r="H34" i="2"/>
  <c r="K34" i="2" s="1"/>
  <c r="K33" i="2"/>
  <c r="J33" i="2"/>
  <c r="K32" i="2"/>
  <c r="J32" i="2"/>
  <c r="K31" i="2"/>
  <c r="K30" i="2"/>
  <c r="J30" i="2"/>
  <c r="K29" i="2"/>
  <c r="J29" i="2"/>
  <c r="K28" i="2"/>
  <c r="J28" i="2"/>
  <c r="K27" i="2"/>
  <c r="K26" i="2"/>
  <c r="J26" i="2"/>
  <c r="K25" i="2"/>
  <c r="J25" i="2"/>
  <c r="K24" i="2"/>
  <c r="J24" i="2"/>
  <c r="K23" i="2"/>
  <c r="J23" i="2"/>
  <c r="K22" i="2"/>
  <c r="B34" i="2"/>
  <c r="E34" i="2" s="1"/>
  <c r="E33" i="2"/>
  <c r="D33" i="2"/>
  <c r="E32" i="2"/>
  <c r="D32" i="2"/>
  <c r="E31" i="2"/>
  <c r="E30" i="2"/>
  <c r="E29" i="2"/>
  <c r="D29" i="2"/>
  <c r="E28" i="2"/>
  <c r="D28" i="2"/>
  <c r="E27" i="2"/>
  <c r="E26" i="2"/>
  <c r="E25" i="2"/>
  <c r="D25" i="2"/>
  <c r="E24" i="2"/>
  <c r="D24" i="2"/>
  <c r="E23" i="2"/>
  <c r="E22" i="2"/>
  <c r="O7" i="2"/>
  <c r="O8" i="2"/>
  <c r="O9" i="2"/>
  <c r="O10" i="2"/>
  <c r="P10" i="2" s="1"/>
  <c r="O11" i="2"/>
  <c r="O12" i="2"/>
  <c r="O13" i="2"/>
  <c r="O14" i="2"/>
  <c r="P14" i="2" s="1"/>
  <c r="O15" i="2"/>
  <c r="O16" i="2"/>
  <c r="O17" i="2"/>
  <c r="O6" i="2"/>
  <c r="N18" i="2"/>
  <c r="Q18" i="2" s="1"/>
  <c r="Q17" i="2"/>
  <c r="P17" i="2"/>
  <c r="Q16" i="2"/>
  <c r="P16" i="2"/>
  <c r="Q15" i="2"/>
  <c r="P15" i="2"/>
  <c r="Q14" i="2"/>
  <c r="Q13" i="2"/>
  <c r="P13" i="2"/>
  <c r="Q12" i="2"/>
  <c r="P12" i="2"/>
  <c r="Q11" i="2"/>
  <c r="P11" i="2"/>
  <c r="Q10" i="2"/>
  <c r="Q9" i="2"/>
  <c r="P9" i="2"/>
  <c r="Q8" i="2"/>
  <c r="P8" i="2"/>
  <c r="Q7" i="2"/>
  <c r="P7" i="2"/>
  <c r="Q6" i="2"/>
  <c r="I7" i="2"/>
  <c r="I8" i="2"/>
  <c r="I9" i="2"/>
  <c r="I18" i="2" s="1"/>
  <c r="I10" i="2"/>
  <c r="I11" i="2"/>
  <c r="I12" i="2"/>
  <c r="I13" i="2"/>
  <c r="J13" i="2" s="1"/>
  <c r="I14" i="2"/>
  <c r="J14" i="2" s="1"/>
  <c r="I15" i="2"/>
  <c r="I16" i="2"/>
  <c r="I17" i="2"/>
  <c r="J17" i="2" s="1"/>
  <c r="J10" i="2"/>
  <c r="I6" i="2"/>
  <c r="H18" i="2"/>
  <c r="K18" i="2" s="1"/>
  <c r="K17" i="2"/>
  <c r="K16" i="2"/>
  <c r="J16" i="2"/>
  <c r="K15" i="2"/>
  <c r="J15" i="2"/>
  <c r="K14" i="2"/>
  <c r="K13" i="2"/>
  <c r="K12" i="2"/>
  <c r="J12" i="2"/>
  <c r="K11" i="2"/>
  <c r="J11" i="2"/>
  <c r="K10" i="2"/>
  <c r="K9" i="2"/>
  <c r="J9" i="2"/>
  <c r="K8" i="2"/>
  <c r="J8" i="2"/>
  <c r="K7" i="2"/>
  <c r="J7" i="2"/>
  <c r="K6" i="2"/>
  <c r="C7" i="2"/>
  <c r="C8" i="2"/>
  <c r="C9" i="2"/>
  <c r="C10" i="2"/>
  <c r="D10" i="2" s="1"/>
  <c r="C11" i="2"/>
  <c r="C12" i="2"/>
  <c r="C13" i="2"/>
  <c r="C14" i="2"/>
  <c r="D14" i="2" s="1"/>
  <c r="C15" i="2"/>
  <c r="C16" i="2"/>
  <c r="C17" i="2"/>
  <c r="B18" i="2"/>
  <c r="E18" i="2" s="1"/>
  <c r="E17" i="2"/>
  <c r="D17" i="2"/>
  <c r="E16" i="2"/>
  <c r="D16" i="2"/>
  <c r="E15" i="2"/>
  <c r="D15" i="2"/>
  <c r="E14" i="2"/>
  <c r="E13" i="2"/>
  <c r="D13" i="2"/>
  <c r="E12" i="2"/>
  <c r="D12" i="2"/>
  <c r="E11" i="2"/>
  <c r="D11" i="2"/>
  <c r="E10" i="2"/>
  <c r="E9" i="2"/>
  <c r="D9" i="2"/>
  <c r="E8" i="2"/>
  <c r="D8" i="2"/>
  <c r="E7" i="2"/>
  <c r="D7" i="2"/>
  <c r="E6" i="2"/>
  <c r="I19" i="3"/>
  <c r="J19" i="3"/>
  <c r="N19" i="3"/>
  <c r="O19" i="3"/>
  <c r="P19" i="3"/>
  <c r="I20" i="3"/>
  <c r="J20" i="3"/>
  <c r="N20" i="3"/>
  <c r="O20" i="3"/>
  <c r="P20" i="3"/>
  <c r="I21" i="3"/>
  <c r="J21" i="3"/>
  <c r="N21" i="3"/>
  <c r="O21" i="3"/>
  <c r="P21" i="3"/>
  <c r="I22" i="3"/>
  <c r="J22" i="3"/>
  <c r="N22" i="3"/>
  <c r="O22" i="3"/>
  <c r="P22" i="3"/>
  <c r="I23" i="3"/>
  <c r="J23" i="3"/>
  <c r="N23" i="3"/>
  <c r="O23" i="3"/>
  <c r="P23" i="3"/>
  <c r="I24" i="3"/>
  <c r="J24" i="3"/>
  <c r="N24" i="3"/>
  <c r="O24" i="3"/>
  <c r="P24" i="3"/>
  <c r="I25" i="3"/>
  <c r="J25" i="3"/>
  <c r="N25" i="3"/>
  <c r="O25" i="3"/>
  <c r="P25" i="3"/>
  <c r="I26" i="3"/>
  <c r="J26" i="3"/>
  <c r="N26" i="3"/>
  <c r="O26" i="3"/>
  <c r="P26" i="3"/>
  <c r="I27" i="3"/>
  <c r="J27" i="3"/>
  <c r="N27" i="3"/>
  <c r="O27" i="3"/>
  <c r="P27" i="3"/>
  <c r="I28" i="3"/>
  <c r="J28" i="3"/>
  <c r="N28" i="3"/>
  <c r="O28" i="3"/>
  <c r="P28" i="3"/>
  <c r="I29" i="3"/>
  <c r="J29" i="3"/>
  <c r="N29" i="3"/>
  <c r="O29" i="3"/>
  <c r="P29" i="3"/>
  <c r="I30" i="3"/>
  <c r="J30" i="3"/>
  <c r="N30" i="3"/>
  <c r="O30" i="3"/>
  <c r="P30" i="3"/>
  <c r="H19" i="3"/>
  <c r="H20" i="3"/>
  <c r="H21" i="3"/>
  <c r="H22" i="3"/>
  <c r="H23" i="3"/>
  <c r="H24" i="3"/>
  <c r="H25" i="3"/>
  <c r="H26" i="3"/>
  <c r="H27" i="3"/>
  <c r="H28" i="3"/>
  <c r="H29" i="3"/>
  <c r="H30" i="3"/>
  <c r="P4" i="3"/>
  <c r="P5" i="3"/>
  <c r="P6" i="3"/>
  <c r="P7" i="3"/>
  <c r="P8" i="3"/>
  <c r="P9" i="3"/>
  <c r="P10" i="3"/>
  <c r="P11" i="3"/>
  <c r="P12" i="3"/>
  <c r="P13" i="3"/>
  <c r="P14" i="3"/>
  <c r="P15" i="3"/>
  <c r="O4" i="3"/>
  <c r="O5" i="3"/>
  <c r="O6" i="3"/>
  <c r="O7" i="3"/>
  <c r="O8" i="3"/>
  <c r="O9" i="3"/>
  <c r="O10" i="3"/>
  <c r="O11" i="3"/>
  <c r="O12" i="3"/>
  <c r="O13" i="3"/>
  <c r="O14" i="3"/>
  <c r="O15" i="3"/>
  <c r="N4" i="3"/>
  <c r="N5" i="3"/>
  <c r="N6" i="3"/>
  <c r="N7" i="3"/>
  <c r="N8" i="3"/>
  <c r="N9" i="3"/>
  <c r="N10" i="3"/>
  <c r="N11" i="3"/>
  <c r="N12" i="3"/>
  <c r="N13" i="3"/>
  <c r="N14" i="3"/>
  <c r="N15" i="3"/>
  <c r="M4" i="3"/>
  <c r="M5" i="3"/>
  <c r="M6" i="3"/>
  <c r="M7" i="3"/>
  <c r="M8" i="3"/>
  <c r="M9" i="3"/>
  <c r="M10" i="3"/>
  <c r="M11" i="3"/>
  <c r="M12" i="3"/>
  <c r="M13" i="3"/>
  <c r="M14" i="3"/>
  <c r="M15" i="3"/>
  <c r="L4" i="3"/>
  <c r="L19" i="3" s="1"/>
  <c r="L5" i="3"/>
  <c r="L6" i="3"/>
  <c r="L7" i="3"/>
  <c r="L8" i="3"/>
  <c r="L9" i="3"/>
  <c r="L10" i="3"/>
  <c r="L11" i="3"/>
  <c r="L12" i="3"/>
  <c r="L13" i="3"/>
  <c r="L14" i="3"/>
  <c r="L15" i="3"/>
  <c r="K4" i="3"/>
  <c r="K5" i="3"/>
  <c r="K6" i="3"/>
  <c r="K7" i="3"/>
  <c r="K8" i="3"/>
  <c r="K9" i="3"/>
  <c r="K10" i="3"/>
  <c r="K11" i="3"/>
  <c r="K12" i="3"/>
  <c r="K13" i="3"/>
  <c r="K14" i="3"/>
  <c r="K15" i="3"/>
  <c r="J4" i="3"/>
  <c r="J5" i="3"/>
  <c r="J6" i="3"/>
  <c r="J7" i="3"/>
  <c r="J8" i="3"/>
  <c r="J9" i="3"/>
  <c r="J10" i="3"/>
  <c r="J11" i="3"/>
  <c r="J12" i="3"/>
  <c r="J13" i="3"/>
  <c r="J14" i="3"/>
  <c r="J15" i="3"/>
  <c r="I4" i="3"/>
  <c r="I5" i="3"/>
  <c r="I6" i="3"/>
  <c r="I7" i="3"/>
  <c r="I8" i="3"/>
  <c r="I9" i="3"/>
  <c r="I10" i="3"/>
  <c r="I11" i="3"/>
  <c r="I12" i="3"/>
  <c r="I13" i="3"/>
  <c r="I14" i="3"/>
  <c r="I15" i="3"/>
  <c r="H4" i="3"/>
  <c r="H5" i="3"/>
  <c r="H6" i="3"/>
  <c r="H7" i="3"/>
  <c r="H8" i="3"/>
  <c r="H9" i="3"/>
  <c r="H10" i="3"/>
  <c r="H11" i="3"/>
  <c r="H12" i="3"/>
  <c r="H13" i="3"/>
  <c r="H14" i="3"/>
  <c r="H15" i="3"/>
  <c r="G5" i="3"/>
  <c r="G6" i="3"/>
  <c r="G7" i="3"/>
  <c r="G8" i="3"/>
  <c r="G9" i="3"/>
  <c r="G10" i="3"/>
  <c r="G11" i="3"/>
  <c r="G12" i="3"/>
  <c r="G13" i="3"/>
  <c r="G14" i="3"/>
  <c r="G15" i="3"/>
  <c r="G4" i="3"/>
  <c r="C6" i="2" s="1"/>
  <c r="C18" i="2" s="1"/>
  <c r="Q4" i="3"/>
  <c r="B16" i="3"/>
  <c r="H16" i="3" s="1"/>
  <c r="N45" i="3"/>
  <c r="N46" i="3"/>
  <c r="N47" i="3"/>
  <c r="N48" i="3"/>
  <c r="N49" i="3"/>
  <c r="F16" i="3"/>
  <c r="E16" i="3"/>
  <c r="P16" i="3" s="1"/>
  <c r="D16" i="3"/>
  <c r="O16" i="3" s="1"/>
  <c r="C16" i="3"/>
  <c r="L16" i="3" s="1"/>
  <c r="L20" i="3" s="1"/>
  <c r="E43" i="4" l="1"/>
  <c r="O33" i="4"/>
  <c r="J10" i="4"/>
  <c r="J18" i="4"/>
  <c r="E11" i="4"/>
  <c r="E15" i="4"/>
  <c r="E13" i="4"/>
  <c r="E17" i="4"/>
  <c r="O18" i="4"/>
  <c r="E24" i="4"/>
  <c r="J24" i="4"/>
  <c r="J27" i="4"/>
  <c r="J32" i="4"/>
  <c r="O23" i="4"/>
  <c r="O28" i="4"/>
  <c r="O30" i="4"/>
  <c r="E41" i="4"/>
  <c r="J44" i="4"/>
  <c r="O44" i="4"/>
  <c r="O48" i="4"/>
  <c r="O13" i="4"/>
  <c r="O17" i="4"/>
  <c r="E23" i="4"/>
  <c r="J23" i="4"/>
  <c r="J28" i="4"/>
  <c r="J31" i="4"/>
  <c r="O31" i="4"/>
  <c r="E42" i="4"/>
  <c r="J43" i="4"/>
  <c r="J50" i="4"/>
  <c r="O47" i="4"/>
  <c r="E10" i="4"/>
  <c r="E14" i="4"/>
  <c r="O8" i="4"/>
  <c r="O7" i="4"/>
  <c r="O9" i="4"/>
  <c r="O11" i="4"/>
  <c r="O16" i="4"/>
  <c r="O12" i="4"/>
  <c r="O14" i="4"/>
  <c r="E12" i="4"/>
  <c r="E7" i="4"/>
  <c r="E16" i="4"/>
  <c r="O15" i="4"/>
  <c r="C66" i="2"/>
  <c r="D54" i="2"/>
  <c r="D66" i="2" s="1"/>
  <c r="O50" i="2"/>
  <c r="I50" i="2"/>
  <c r="C50" i="2"/>
  <c r="P38" i="2"/>
  <c r="P50" i="2" s="1"/>
  <c r="J38" i="2"/>
  <c r="J50" i="2" s="1"/>
  <c r="D38" i="2"/>
  <c r="D50" i="2" s="1"/>
  <c r="O34" i="2"/>
  <c r="L27" i="3"/>
  <c r="L23" i="3"/>
  <c r="I22" i="2"/>
  <c r="I34" i="2" s="1"/>
  <c r="L30" i="3"/>
  <c r="L26" i="3"/>
  <c r="L22" i="3"/>
  <c r="L29" i="3"/>
  <c r="L25" i="3"/>
  <c r="L21" i="3"/>
  <c r="L28" i="3"/>
  <c r="L24" i="3"/>
  <c r="P22" i="2"/>
  <c r="P34" i="2" s="1"/>
  <c r="J22" i="2"/>
  <c r="J34" i="2" s="1"/>
  <c r="D22" i="2"/>
  <c r="D34" i="2" s="1"/>
  <c r="O18" i="2"/>
  <c r="P6" i="2"/>
  <c r="P18" i="2" s="1"/>
  <c r="J6" i="2"/>
  <c r="J18" i="2" s="1"/>
  <c r="D6" i="2"/>
  <c r="D18" i="2" s="1"/>
  <c r="I16" i="3"/>
  <c r="M16" i="3"/>
  <c r="J16" i="3"/>
  <c r="N16" i="3"/>
  <c r="G16" i="3"/>
  <c r="K16" i="3"/>
  <c r="K19" i="3" s="1"/>
  <c r="N50" i="3"/>
  <c r="I32" i="3" s="1"/>
  <c r="K54" i="2"/>
  <c r="K55" i="2"/>
  <c r="K56" i="2"/>
  <c r="K57" i="2"/>
  <c r="K58" i="2"/>
  <c r="K59" i="2"/>
  <c r="K60" i="2"/>
  <c r="K61" i="2"/>
  <c r="K62" i="2"/>
  <c r="K63" i="2"/>
  <c r="K64" i="2"/>
  <c r="K65" i="2"/>
  <c r="H66" i="2"/>
  <c r="K66" i="2" s="1"/>
  <c r="Q5" i="3"/>
  <c r="I55" i="2" s="1"/>
  <c r="Q6" i="3"/>
  <c r="Q7" i="3"/>
  <c r="I57" i="2" s="1"/>
  <c r="Q8" i="3"/>
  <c r="Q9" i="3"/>
  <c r="I59" i="2" s="1"/>
  <c r="Q10" i="3"/>
  <c r="Q11" i="3"/>
  <c r="I61" i="2" s="1"/>
  <c r="Q12" i="3"/>
  <c r="Q13" i="3"/>
  <c r="I63" i="2" s="1"/>
  <c r="Q14" i="3"/>
  <c r="Q15" i="3"/>
  <c r="I65" i="2" s="1"/>
  <c r="I54" i="2"/>
  <c r="M23" i="3" l="1"/>
  <c r="M27" i="3"/>
  <c r="M20" i="3"/>
  <c r="M24" i="3"/>
  <c r="M28" i="3"/>
  <c r="M21" i="3"/>
  <c r="M25" i="3"/>
  <c r="M29" i="3"/>
  <c r="M22" i="3"/>
  <c r="M26" i="3"/>
  <c r="M30" i="3"/>
  <c r="G30" i="3"/>
  <c r="G26" i="3"/>
  <c r="G22" i="3"/>
  <c r="G29" i="3"/>
  <c r="G25" i="3"/>
  <c r="G21" i="3"/>
  <c r="G28" i="3"/>
  <c r="G24" i="3"/>
  <c r="G20" i="3"/>
  <c r="G27" i="3"/>
  <c r="G23" i="3"/>
  <c r="G19" i="3"/>
  <c r="J54" i="2"/>
  <c r="I66" i="2"/>
  <c r="M19" i="3"/>
  <c r="K21" i="3"/>
  <c r="K25" i="3"/>
  <c r="K29" i="3"/>
  <c r="K22" i="3"/>
  <c r="K26" i="3"/>
  <c r="K30" i="3"/>
  <c r="K23" i="3"/>
  <c r="K27" i="3"/>
  <c r="K20" i="3"/>
  <c r="K24" i="3"/>
  <c r="K28" i="3"/>
  <c r="D83" i="4"/>
  <c r="D79" i="4"/>
  <c r="D75" i="4"/>
  <c r="D74" i="4"/>
  <c r="D82" i="4"/>
  <c r="D78" i="4"/>
  <c r="D72" i="4"/>
  <c r="D81" i="4"/>
  <c r="D77" i="4"/>
  <c r="D73" i="4"/>
  <c r="D80" i="4"/>
  <c r="D76" i="4"/>
  <c r="I62" i="2"/>
  <c r="J62" i="2" s="1"/>
  <c r="I64" i="2"/>
  <c r="J64" i="2" s="1"/>
  <c r="I60" i="2"/>
  <c r="J60" i="2" s="1"/>
  <c r="I56" i="2"/>
  <c r="J56" i="2" s="1"/>
  <c r="Q16" i="3"/>
  <c r="I58" i="2"/>
  <c r="J58" i="2" s="1"/>
  <c r="J65" i="2"/>
  <c r="J63" i="2"/>
  <c r="J61" i="2"/>
  <c r="J59" i="2"/>
  <c r="J57" i="2"/>
  <c r="J55" i="2"/>
  <c r="L56" i="3" l="1"/>
  <c r="I65" i="4" s="1"/>
  <c r="Q23" i="3"/>
  <c r="Q27" i="3"/>
  <c r="Q20" i="3"/>
  <c r="Q24" i="3"/>
  <c r="Q28" i="3"/>
  <c r="Q21" i="3"/>
  <c r="Q25" i="3"/>
  <c r="Q29" i="3"/>
  <c r="Q22" i="3"/>
  <c r="Q26" i="3"/>
  <c r="Q30" i="3"/>
  <c r="Q19" i="3"/>
  <c r="L46" i="3"/>
  <c r="I55" i="4" s="1"/>
  <c r="L47" i="3"/>
  <c r="I56" i="4" s="1"/>
  <c r="L52" i="3"/>
  <c r="I61" i="4" s="1"/>
  <c r="L53" i="3"/>
  <c r="I62" i="4" s="1"/>
  <c r="L57" i="3"/>
  <c r="I66" i="4" s="1"/>
  <c r="L49" i="3"/>
  <c r="I58" i="4" s="1"/>
  <c r="L55" i="3"/>
  <c r="I64" i="4" s="1"/>
  <c r="L50" i="3"/>
  <c r="I59" i="4" s="1"/>
  <c r="L51" i="3"/>
  <c r="I60" i="4" s="1"/>
  <c r="L48" i="3"/>
  <c r="I57" i="4" s="1"/>
  <c r="L54" i="3"/>
  <c r="I63" i="4" s="1"/>
  <c r="J66" i="2"/>
  <c r="H64" i="4" l="1"/>
  <c r="J64" i="4" s="1"/>
  <c r="H57" i="4" l="1"/>
  <c r="J57" i="4" s="1"/>
  <c r="J55" i="4"/>
  <c r="H65" i="4"/>
  <c r="J65" i="4" s="1"/>
  <c r="H56" i="4"/>
  <c r="J56" i="4" s="1"/>
  <c r="H66" i="4"/>
  <c r="J66" i="4" s="1"/>
  <c r="H61" i="4"/>
  <c r="J61" i="4" s="1"/>
  <c r="H59" i="4"/>
  <c r="J59" i="4" s="1"/>
  <c r="H62" i="4"/>
  <c r="J62" i="4" s="1"/>
  <c r="H60" i="4"/>
  <c r="J60" i="4" s="1"/>
  <c r="H63" i="4"/>
  <c r="J63" i="4" s="1"/>
  <c r="H58" i="4"/>
  <c r="J58" i="4" s="1"/>
</calcChain>
</file>

<file path=xl/sharedStrings.xml><?xml version="1.0" encoding="utf-8"?>
<sst xmlns="http://schemas.openxmlformats.org/spreadsheetml/2006/main" count="458" uniqueCount="68">
  <si>
    <t>VENTAS PROMEDIO</t>
  </si>
  <si>
    <t>Mes</t>
  </si>
  <si>
    <t>Periodo</t>
  </si>
  <si>
    <t>Ventas promedio</t>
  </si>
  <si>
    <t>ty</t>
  </si>
  <si>
    <t>Enero</t>
  </si>
  <si>
    <t>Febrero</t>
  </si>
  <si>
    <t xml:space="preserve">Marzo 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</si>
  <si>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</si>
  <si>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</si>
  <si>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</si>
  <si>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</si>
  <si>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</si>
  <si>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</si>
  <si>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</si>
  <si>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</si>
  <si>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</si>
  <si>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VENTAS</t>
  </si>
  <si>
    <t>MES</t>
  </si>
  <si>
    <t xml:space="preserve">Febrero </t>
  </si>
  <si>
    <t>Promedio</t>
  </si>
  <si>
    <t>IE</t>
  </si>
  <si>
    <t>Total</t>
  </si>
  <si>
    <r>
      <rPr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</si>
  <si>
    <t>A</t>
  </si>
  <si>
    <t>B</t>
  </si>
  <si>
    <t>Pronóstico de ventas</t>
  </si>
  <si>
    <t>Pronóstico de ventas ajustado</t>
  </si>
  <si>
    <t>Marzo</t>
  </si>
  <si>
    <t>Método: Incremento absoluto</t>
  </si>
  <si>
    <t>Año 1</t>
  </si>
  <si>
    <t>Año 2</t>
  </si>
  <si>
    <t>Año 3</t>
  </si>
  <si>
    <t>Año 4</t>
  </si>
  <si>
    <t>Año 5</t>
  </si>
  <si>
    <t>Promedio año 1 y 2</t>
  </si>
  <si>
    <t>Promedio año 1 y 3</t>
  </si>
  <si>
    <t>Promedio año 1 y 4</t>
  </si>
  <si>
    <t>Promedio año 1 y 5</t>
  </si>
  <si>
    <t>Promedio año 2 y 3</t>
  </si>
  <si>
    <t>Promedio año 2 y 4</t>
  </si>
  <si>
    <t>promedio año 2 y 5</t>
  </si>
  <si>
    <t>Promedio año 3 y 4</t>
  </si>
  <si>
    <t>promedio año 3 y 5</t>
  </si>
  <si>
    <t>Promedio año 4 y 5</t>
  </si>
  <si>
    <t>Promedio total</t>
  </si>
  <si>
    <t>IE año 1 y 2</t>
  </si>
  <si>
    <t>IE año 1 y 3</t>
  </si>
  <si>
    <t>IE año 1 y 4</t>
  </si>
  <si>
    <t>IE año 1 y 5</t>
  </si>
  <si>
    <t>IE año 2 y 3</t>
  </si>
  <si>
    <t>IE año 3 y 4</t>
  </si>
  <si>
    <t>IE año 3 y 5</t>
  </si>
  <si>
    <t>IE año 2 y 4</t>
  </si>
  <si>
    <t>IE año 2 y 5</t>
  </si>
  <si>
    <t>IE año 4 y 5</t>
  </si>
  <si>
    <t>IE total</t>
  </si>
  <si>
    <t>Año 1 y 2</t>
  </si>
  <si>
    <t>Año 1 y 3</t>
  </si>
  <si>
    <t>Año 1 y 4</t>
  </si>
  <si>
    <t>Año 1 y 5</t>
  </si>
  <si>
    <t>Año 2 y 3</t>
  </si>
  <si>
    <t>Año 2 y 4</t>
  </si>
  <si>
    <t>Año 2 y 5</t>
  </si>
  <si>
    <t>Año 3 y 4</t>
  </si>
  <si>
    <t>Año 3 y 5</t>
  </si>
  <si>
    <t>Año 4 y 5</t>
  </si>
  <si>
    <t>Método: Minimos cuadrados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</si>
</sst>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11">
    <font>
      <sz val="11"/>
      <color theme="1"/>
      <name val="Calibri"/>
      <family val="2"/>
      <scheme val="minor"/>
    </font>
    <font>
      <sz val="18"/>
      <color theme="1"/>
      <name val="AR CENA"/>
    </font>
    <font>
      <vertAlign val="superscript"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26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28"/>
      <color theme="1"/>
      <name val="AR CENA"/>
    </font>
    <font>
      <b/>
      <sz val="14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8C2BE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0A9EB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6" fillId="0" borderId="0" xfId="0" applyFont="1"/>
    <xf numFmtId="43" fontId="8" fillId="0" borderId="0" xfId="1" applyFont="1" applyAlignment="1">
      <alignment horizontal="right"/>
    </xf>
    <xf numFmtId="0" fontId="0" fillId="5" borderId="0" xfId="0" applyFill="1" applyBorder="1"/>
    <xf numFmtId="0" fontId="6" fillId="5" borderId="0" xfId="0" applyFont="1" applyFill="1" applyBorder="1"/>
    <xf numFmtId="0" fontId="5" fillId="5" borderId="0" xfId="3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5" fillId="5" borderId="0" xfId="2" applyFill="1" applyBorder="1" applyAlignment="1">
      <alignment horizontal="left"/>
    </xf>
    <xf numFmtId="0" fontId="3" fillId="0" borderId="0" xfId="0" applyFont="1" applyAlignment="1">
      <alignment horizontal="center"/>
    </xf>
    <xf numFmtId="0" fontId="9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Alignment="1"/>
    <xf numFmtId="0" fontId="0" fillId="5" borderId="0" xfId="0" applyFill="1" applyBorder="1" applyAlignment="1"/>
    <xf numFmtId="0" fontId="3" fillId="5" borderId="0" xfId="0" applyFont="1" applyFill="1" applyBorder="1"/>
    <xf numFmtId="0" fontId="0" fillId="2" borderId="0" xfId="0" applyFill="1"/>
    <xf numFmtId="0" fontId="10" fillId="2" borderId="0" xfId="0" applyFont="1" applyFill="1" applyAlignment="1">
      <alignment horizontal="center" vertical="center"/>
    </xf>
    <xf numFmtId="0" fontId="0" fillId="5" borderId="0" xfId="0" applyNumberFormat="1" applyFill="1" applyBorder="1"/>
    <xf numFmtId="0" fontId="10" fillId="6" borderId="0" xfId="0" applyFont="1" applyFill="1" applyAlignment="1">
      <alignment vertical="center"/>
    </xf>
  </cellXfs>
  <cellStyles count="4">
    <cellStyle name="20% - Énfasis1" xfId="2" builtinId="30"/>
    <cellStyle name="20% - Énfasis5" xfId="3" builtinId="46"/>
    <cellStyle name="Millares" xfId="1" builtinId="3"/>
    <cellStyle name="Normal" xfId="0" builtinId="0"/>
  </cellStyles>
  <dxfs count="10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A9EB2"/>
      <color rgb="FF18C2BE"/>
      <color rgb="FF39BC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M&#237;nimo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ronostico!A1"/><Relationship Id="rId2" Type="http://schemas.openxmlformats.org/officeDocument/2006/relationships/hyperlink" Target="#VentasProm!A1"/><Relationship Id="rId1" Type="http://schemas.openxmlformats.org/officeDocument/2006/relationships/hyperlink" Target="#Datos!A1"/><Relationship Id="rId4" Type="http://schemas.openxmlformats.org/officeDocument/2006/relationships/hyperlink" Target="#Inicio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&#237;nimos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&#237;nimo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"/><Relationship Id="rId2" Type="http://schemas.openxmlformats.org/officeDocument/2006/relationships/image" Target="../media/image2.png"/><Relationship Id="rId1" Type="http://schemas.openxmlformats.org/officeDocument/2006/relationships/hyperlink" Target="#M&#237;nimos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57150</xdr:rowOff>
        </xdr:from>
        <xdr:to>
          <xdr:col>13</xdr:col>
          <xdr:colOff>190500</xdr:colOff>
          <xdr:row>23</xdr:row>
          <xdr:rowOff>66675</xdr:rowOff>
        </xdr:to>
        <xdr:sp macro="" textlink="">
          <xdr:nvSpPr>
            <xdr:cNvPr id="5121" name="Object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628650</xdr:colOff>
      <xdr:row>4</xdr:row>
      <xdr:rowOff>142875</xdr:rowOff>
    </xdr:from>
    <xdr:to>
      <xdr:col>13</xdr:col>
      <xdr:colOff>114300</xdr:colOff>
      <xdr:row>10</xdr:row>
      <xdr:rowOff>38100</xdr:rowOff>
    </xdr:to>
    <xdr:sp macro="" textlink="">
      <xdr:nvSpPr>
        <xdr:cNvPr id="2" name="Rectá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248650" y="904875"/>
          <a:ext cx="1771650" cy="1038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accent1"/>
              </a:solidFill>
              <a:effectLst>
                <a:glow rad="63500">
                  <a:schemeClr val="accent6">
                    <a:satMod val="175000"/>
                    <a:alpha val="40000"/>
                  </a:schemeClr>
                </a:glow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MÍNIMOS CUADRADOS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639535</xdr:colOff>
      <xdr:row>6</xdr:row>
      <xdr:rowOff>136071</xdr:rowOff>
    </xdr:from>
    <xdr:to>
      <xdr:col>19</xdr:col>
      <xdr:colOff>144236</xdr:colOff>
      <xdr:row>36</xdr:row>
      <xdr:rowOff>117020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3687535" y="1279071"/>
          <a:ext cx="10934701" cy="5695949"/>
          <a:chOff x="3091846" y="795958"/>
          <a:chExt cx="7962900" cy="3467100"/>
        </a:xfrm>
      </xdr:grpSpPr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025" name="Object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3091846" y="795958"/>
                <a:ext cx="7962900" cy="3467100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64"/>
                </a:solidFill>
                <a:prstDash val="solid"/>
                <a:miter lim="800000"/>
                <a:headEnd/>
                <a:tailEnd type="none" w="med" len="med"/>
              </a:ln>
              <a:effectLst/>
              <a:extLst>
                <a:ext uri="{AF507438-7753-43E0-B8FC-AC1667EBCBE1}">
                  <a14:hiddenEffects>
                    <a:effectLst>
                      <a:outerShdw dist="35921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</xdr:sp>
        </mc:Choice>
        <mc:Fallback xmlns=""/>
      </mc:AlternateContent>
      <xdr:sp macro="" textlink="">
        <xdr:nvSpPr>
          <xdr:cNvPr id="2" name="Rectángulo redondeado 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3676953" y="1750520"/>
            <a:ext cx="1676400" cy="659876"/>
          </a:xfrm>
          <a:prstGeom prst="round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16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INGRESAR DATOS</a:t>
            </a:r>
          </a:p>
        </xdr:txBody>
      </xdr:sp>
      <xdr:sp macro="" textlink="">
        <xdr:nvSpPr>
          <xdr:cNvPr id="21" name="Rectángulo redondeado 2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6172503" y="1751797"/>
            <a:ext cx="1781175" cy="692870"/>
          </a:xfrm>
          <a:prstGeom prst="round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16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VER TABLA</a:t>
            </a:r>
            <a:r>
              <a:rPr lang="es-MX" sz="16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DE VENTAS PROMEDIO</a:t>
            </a:r>
            <a:endParaRPr lang="es-MX" sz="1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2" name="Rectángulo redondeado 2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8677577" y="1742272"/>
            <a:ext cx="1914525" cy="684622"/>
          </a:xfrm>
          <a:prstGeom prst="round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16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VER PRONÓSTICO DE VENTAS</a:t>
            </a:r>
          </a:p>
        </xdr:txBody>
      </xdr:sp>
      <xdr:grpSp>
        <xdr:nvGrpSpPr>
          <xdr:cNvPr id="11" name="Grupo 10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pSpPr/>
        </xdr:nvGrpSpPr>
        <xdr:grpSpPr>
          <a:xfrm>
            <a:off x="10296829" y="3462958"/>
            <a:ext cx="647700" cy="552450"/>
            <a:chOff x="10296829" y="3462958"/>
            <a:chExt cx="647700" cy="552450"/>
          </a:xfrm>
        </xdr:grpSpPr>
        <xdr:sp macro="" textlink="">
          <xdr:nvSpPr>
            <xdr:cNvPr id="8" name="Elipse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/>
          </xdr:nvSpPr>
          <xdr:spPr>
            <a:xfrm>
              <a:off x="10296829" y="3462958"/>
              <a:ext cx="647700" cy="552450"/>
            </a:xfrm>
            <a:prstGeom prst="ellipse">
              <a:avLst/>
            </a:prstGeom>
            <a:solidFill>
              <a:schemeClr val="bg2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9" name="Flecha derecha 8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SpPr/>
          </xdr:nvSpPr>
          <xdr:spPr>
            <a:xfrm rot="10800000">
              <a:off x="10391694" y="3598794"/>
              <a:ext cx="419100" cy="257175"/>
            </a:xfrm>
            <a:prstGeom prst="rightArrow">
              <a:avLst>
                <a:gd name="adj1" fmla="val 35185"/>
                <a:gd name="adj2" fmla="val 50000"/>
              </a:avLst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76200</xdr:colOff>
      <xdr:row>31</xdr:row>
      <xdr:rowOff>9525</xdr:rowOff>
    </xdr:from>
    <xdr:to>
      <xdr:col>15</xdr:col>
      <xdr:colOff>723900</xdr:colOff>
      <xdr:row>33</xdr:row>
      <xdr:rowOff>180975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16449675" y="5905500"/>
          <a:ext cx="647700" cy="552450"/>
          <a:chOff x="9305925" y="3181350"/>
          <a:chExt cx="647700" cy="552450"/>
        </a:xfrm>
      </xdr:grpSpPr>
      <xdr:sp macro="" textlink="">
        <xdr:nvSpPr>
          <xdr:cNvPr id="3" name="Elips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9305925" y="3181350"/>
            <a:ext cx="647700" cy="552450"/>
          </a:xfrm>
          <a:prstGeom prst="ellipse">
            <a:avLst/>
          </a:prstGeom>
          <a:solidFill>
            <a:schemeClr val="bg2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4" name="Flecha derecha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 rot="10800000">
            <a:off x="9410700" y="3333750"/>
            <a:ext cx="419100" cy="257175"/>
          </a:xfrm>
          <a:prstGeom prst="rightArrow">
            <a:avLst>
              <a:gd name="adj1" fmla="val 35185"/>
              <a:gd name="adj2" fmla="val 50000"/>
            </a:avLst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</xdr:colOff>
      <xdr:row>51</xdr:row>
      <xdr:rowOff>180975</xdr:rowOff>
    </xdr:from>
    <xdr:to>
      <xdr:col>14</xdr:col>
      <xdr:colOff>0</xdr:colOff>
      <xdr:row>54</xdr:row>
      <xdr:rowOff>161925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515600" y="10125075"/>
          <a:ext cx="742950" cy="628650"/>
          <a:chOff x="9305925" y="3181350"/>
          <a:chExt cx="647700" cy="552450"/>
        </a:xfrm>
      </xdr:grpSpPr>
      <xdr:sp macro="" textlink="">
        <xdr:nvSpPr>
          <xdr:cNvPr id="3" name="Elips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9305925" y="3181350"/>
            <a:ext cx="647700" cy="552450"/>
          </a:xfrm>
          <a:prstGeom prst="ellipse">
            <a:avLst/>
          </a:prstGeom>
          <a:solidFill>
            <a:schemeClr val="bg2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4" name="Flecha derecha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 rot="10800000">
            <a:off x="9410700" y="3333750"/>
            <a:ext cx="419100" cy="257175"/>
          </a:xfrm>
          <a:prstGeom prst="rightArrow">
            <a:avLst>
              <a:gd name="adj1" fmla="val 35185"/>
              <a:gd name="adj2" fmla="val 50000"/>
            </a:avLst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590550</xdr:colOff>
      <xdr:row>70</xdr:row>
      <xdr:rowOff>123825</xdr:rowOff>
    </xdr:from>
    <xdr:to>
      <xdr:col>7</xdr:col>
      <xdr:colOff>476250</xdr:colOff>
      <xdr:row>73</xdr:row>
      <xdr:rowOff>104775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658225" y="13506450"/>
          <a:ext cx="647700" cy="552450"/>
          <a:chOff x="9305925" y="3181350"/>
          <a:chExt cx="647700" cy="552450"/>
        </a:xfrm>
      </xdr:grpSpPr>
      <xdr:sp macro="" textlink="">
        <xdr:nvSpPr>
          <xdr:cNvPr id="3" name="Elips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9305925" y="3181350"/>
            <a:ext cx="647700" cy="552450"/>
          </a:xfrm>
          <a:prstGeom prst="ellipse">
            <a:avLst/>
          </a:prstGeom>
          <a:solidFill>
            <a:schemeClr val="bg2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4" name="Flecha derecha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 rot="10800000">
            <a:off x="9410700" y="3333750"/>
            <a:ext cx="419100" cy="257175"/>
          </a:xfrm>
          <a:prstGeom prst="rightArrow">
            <a:avLst>
              <a:gd name="adj1" fmla="val 35185"/>
              <a:gd name="adj2" fmla="val 50000"/>
            </a:avLst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 editAs="oneCell">
    <xdr:from>
      <xdr:col>6</xdr:col>
      <xdr:colOff>657225</xdr:colOff>
      <xdr:row>77</xdr:row>
      <xdr:rowOff>171450</xdr:rowOff>
    </xdr:from>
    <xdr:to>
      <xdr:col>7</xdr:col>
      <xdr:colOff>552450</xdr:colOff>
      <xdr:row>81</xdr:row>
      <xdr:rowOff>9525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7175" y="1885950"/>
          <a:ext cx="657225" cy="600075"/>
        </a:xfrm>
        <a:prstGeom prst="rect">
          <a:avLst/>
        </a:prstGeom>
      </xdr:spPr>
    </xdr:pic>
    <xdr:clientData/>
  </xdr:twoCellAnchor>
  <xdr:twoCellAnchor editAs="oneCell">
    <xdr:from>
      <xdr:col>6</xdr:col>
      <xdr:colOff>628650</xdr:colOff>
      <xdr:row>74</xdr:row>
      <xdr:rowOff>38101</xdr:rowOff>
    </xdr:from>
    <xdr:to>
      <xdr:col>7</xdr:col>
      <xdr:colOff>529997</xdr:colOff>
      <xdr:row>77</xdr:row>
      <xdr:rowOff>85725</xdr:rowOff>
    </xdr:to>
    <xdr:pic macro="[0]!Graficar">
      <xdr:nvPicPr>
        <xdr:cNvPr id="9" name="Imagen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1181101"/>
          <a:ext cx="663347" cy="619124"/>
        </a:xfrm>
        <a:prstGeom prst="ellipse">
          <a:avLst/>
        </a:prstGeom>
        <a:ln w="63500" cap="rnd">
          <a:noFill/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</xdr:wsDr>
</file>

<file path=xl/tables/table1.xml><?xml version="1.0" encoding="utf-8"?>
<table xmlns="http://schemas.openxmlformats.org/spreadsheetml/2006/main" id="3" name="Tabla3" displayName="Tabla3" ref="A3:H16" totalsRowShown="0" headerRowDxfId="98">
  <autoFilter ref="A3:H16"/>
  <tableColumns count="8">
    <tableColumn id="1" name="MES"/>
    <tableColumn id="2" name="Año 1"/>
    <tableColumn id="3" name="Año 2"/>
    <tableColumn id="4" name="Año 3"/>
    <tableColumn id="5" name="Año 4"/>
    <tableColumn id="6" name="Año 5"/>
    <tableColumn id="7" name="Promedio año 1 y 2" dataDxfId="97">
      <calculatedColumnFormula>(Tabla3[[#This Row],[Año 1]]+Tabla3[[#This Row],[Año 2]])/2</calculatedColumnFormula>
    </tableColumn>
    <tableColumn id="8" name="Promedio año 1 y 3" dataDxfId="96">
      <calculatedColumnFormula>(Tabla3[[#This Row],[Año 1]]+Tabla3[[#This Row],[Año 3]])/2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6" name="Tabla6" displayName="Tabla6" ref="I3:L16" totalsRowShown="0">
  <autoFilter ref="I3:L16"/>
  <tableColumns count="4">
    <tableColumn id="1" name="Promedio año 1 y 4" dataDxfId="95">
      <calculatedColumnFormula>(Tabla3[[#This Row],[Año 1]]+Tabla3[[#This Row],[Año 4]])/2</calculatedColumnFormula>
    </tableColumn>
    <tableColumn id="2" name="Promedio año 1 y 5" dataDxfId="94">
      <calculatedColumnFormula>(Tabla3[[#This Row],[Año 1]]+Tabla3[[#This Row],[Año 5]])</calculatedColumnFormula>
    </tableColumn>
    <tableColumn id="3" name="Promedio año 2 y 3" dataDxfId="93">
      <calculatedColumnFormula>(Tabla3[[#This Row],[Año 2]]+Tabla3[[#This Row],[Año 3]])/2</calculatedColumnFormula>
    </tableColumn>
    <tableColumn id="4" name="Promedio año 2 y 4" dataDxfId="92">
      <calculatedColumnFormula>(Tabla3[[#This Row],[Año 2]]+Tabla3[[#This Row],[Año 4]])/2</calculatedColumnFormula>
    </tableColumn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7" name="Tabla7" displayName="Tabla7" ref="M3:O16" totalsRowShown="0">
  <autoFilter ref="M3:O16"/>
  <tableColumns count="3">
    <tableColumn id="1" name="promedio año 2 y 5" dataDxfId="91">
      <calculatedColumnFormula>(Tabla3[[#This Row],[Año 2]]+Tabla3[[#This Row],[Año 5]])/2</calculatedColumnFormula>
    </tableColumn>
    <tableColumn id="2" name="Promedio año 3 y 4" dataDxfId="90">
      <calculatedColumnFormula>(Tabla3[[#This Row],[Año 3]]+Tabla3[[#This Row],[Año 4]])</calculatedColumnFormula>
    </tableColumn>
    <tableColumn id="3" name="promedio año 3 y 5" dataDxfId="89">
      <calculatedColumnFormula>(Tabla3[[#This Row],[Año 3]]+Tabla3[[#This Row],[Año 5]])/2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8" name="Tabla8" displayName="Tabla8" ref="P3:Q16" totalsRowShown="0">
  <autoFilter ref="P3:Q16"/>
  <tableColumns count="2">
    <tableColumn id="1" name="Promedio año 4 y 5" dataDxfId="88">
      <calculatedColumnFormula>(Tabla3[[#This Row],[Año 4]]+Tabla3[[#This Row],[Año 5]])/2</calculatedColumnFormula>
    </tableColumn>
    <tableColumn id="2" name="Promedio total" dataDxfId="87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9" name="Tabla9" displayName="Tabla9" ref="G18:Q30" totalsRowShown="0" headerRowDxfId="85">
  <autoFilter ref="G18:Q30"/>
  <tableColumns count="11">
    <tableColumn id="1" name="IE año 1 y 2" dataDxfId="84">
      <calculatedColumnFormula>G4/G16</calculatedColumnFormula>
    </tableColumn>
    <tableColumn id="2" name="IE año 1 y 3" dataDxfId="83"/>
    <tableColumn id="3" name="IE año 1 y 4" dataDxfId="82"/>
    <tableColumn id="4" name="IE año 1 y 5" dataDxfId="81"/>
    <tableColumn id="5" name="IE año 2 y 3" dataDxfId="80"/>
    <tableColumn id="6" name="IE año 2 y 4" dataDxfId="79"/>
    <tableColumn id="7" name="IE año 2 y 5" dataDxfId="78"/>
    <tableColumn id="8" name="IE año 3 y 4" dataDxfId="77"/>
    <tableColumn id="9" name="IE año 3 y 5" dataDxfId="76"/>
    <tableColumn id="10" name="IE año 4 y 5" dataDxfId="75"/>
    <tableColumn id="11" name="IE total" dataDxfId="74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4" name="Tabla4" displayName="Tabla4" ref="G53:K67" totalsRowCount="1">
  <autoFilter ref="G53:K66"/>
  <tableColumns count="5">
    <tableColumn id="1" name="Mes" totalsRowFunction="custom">
      <totalsRowFormula>(I66-(Tabla411[[#Totals],[Periodo]]*H66))/H65</totalsRowFormula>
    </tableColumn>
    <tableColumn id="2" name="Periodo" totalsRowFunction="custom" totalsRowDxfId="43">
      <totalsRowFormula>((H65*J66)-(H66*I66))/((H65*K66)-(H66^2))</totalsRowFormula>
    </tableColumn>
    <tableColumn id="3" name="Ventas promedio" totalsRowDxfId="42"/>
    <tableColumn id="4" name="ty" totalsRowDxfId="41"/>
    <tableColumn id="5" name="t2" dataDxfId="64" totalsRowDxfId="40">
      <calculatedColumnFormula>(H54)^2</calculatedColumnFormula>
    </tableColumn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10" name="Tabla411" displayName="Tabla411" ref="A5:E19" totalsRowCount="1">
  <autoFilter ref="A5:E18"/>
  <tableColumns count="5">
    <tableColumn id="1" name="Mes" totalsRowFunction="custom">
      <totalsRowFormula>(C18-(Tabla411[[#Totals],[Periodo]]*B18))/B17</totalsRowFormula>
    </tableColumn>
    <tableColumn id="2" name="Periodo" totalsRowFunction="custom" totalsRowDxfId="63">
      <totalsRowFormula>((B17*D18)-(B18*C18))/((B17*E18)-(B18^2))</totalsRowFormula>
    </tableColumn>
    <tableColumn id="3" name="Ventas promedio">
      <calculatedColumnFormula>Datos!G4</calculatedColumnFormula>
    </tableColumn>
    <tableColumn id="4" name="ty"/>
    <tableColumn id="5" name="t2" dataDxfId="86" totalsRowDxfId="62">
      <calculatedColumnFormula>(B6)^2</calculatedColumnFormula>
    </tableColumn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11" name="Tabla41112" displayName="Tabla41112" ref="G5:K19" totalsRowCount="1">
  <autoFilter ref="G5:K18"/>
  <tableColumns count="5">
    <tableColumn id="1" name="Mes" totalsRowFunction="custom">
      <totalsRowFormula>(I18-(Tabla411[[#Totals],[Periodo]]*H18))/H17</totalsRowFormula>
    </tableColumn>
    <tableColumn id="2" name="Periodo" totalsRowFunction="custom" totalsRowDxfId="61">
      <totalsRowFormula>((H17*J18)-(H18*I18))/((H17*K18)-(H18^2))</totalsRowFormula>
    </tableColumn>
    <tableColumn id="3" name="Ventas promedio">
      <calculatedColumnFormula>Datos!M4</calculatedColumnFormula>
    </tableColumn>
    <tableColumn id="4" name="ty"/>
    <tableColumn id="5" name="t2" dataDxfId="73" totalsRowDxfId="60">
      <calculatedColumnFormula>(H6)^2</calculatedColumnFormula>
    </tableColumn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12" name="Tabla4111213" displayName="Tabla4111213" ref="M5:Q19" totalsRowCount="1">
  <autoFilter ref="M5:Q18"/>
  <tableColumns count="5">
    <tableColumn id="1" name="Mes" totalsRowFunction="custom">
      <totalsRowFormula>(O18-(Tabla411[[#Totals],[Periodo]]*N18))/N17</totalsRowFormula>
    </tableColumn>
    <tableColumn id="2" name="Periodo" totalsRowFunction="custom" totalsRowDxfId="59">
      <totalsRowFormula>((N17*P18)-(N18*O18))/((N17*Q18)-(N18^2))</totalsRowFormula>
    </tableColumn>
    <tableColumn id="3" name="Ventas promedio">
      <calculatedColumnFormula>Datos!S4</calculatedColumnFormula>
    </tableColumn>
    <tableColumn id="4" name="ty"/>
    <tableColumn id="5" name="t2" dataDxfId="72" totalsRowDxfId="58">
      <calculatedColumnFormula>(N6)^2</calculatedColumnFormula>
    </tableColumn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13" name="Tabla41114" displayName="Tabla41114" ref="A21:E35" totalsRowCount="1">
  <autoFilter ref="A21:E34"/>
  <tableColumns count="5">
    <tableColumn id="1" name="Mes" totalsRowFunction="custom">
      <totalsRowFormula>(C34-(Tabla411[[#Totals],[Periodo]]*B34))/B33</totalsRowFormula>
    </tableColumn>
    <tableColumn id="2" name="Periodo" totalsRowFunction="custom" totalsRowDxfId="57">
      <totalsRowFormula>((B33*D34)-(B34*C34))/((B33*E34)-(B34^2))</totalsRowFormula>
    </tableColumn>
    <tableColumn id="3" name="Ventas promedio">
      <calculatedColumnFormula>Datos!G20</calculatedColumnFormula>
    </tableColumn>
    <tableColumn id="4" name="ty"/>
    <tableColumn id="5" name="t2" dataDxfId="71" totalsRowDxfId="56">
      <calculatedColumnFormula>(B22)^2</calculatedColumnFormula>
    </tableColumn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14" name="Tabla41115" displayName="Tabla41115" ref="G21:K35" totalsRowCount="1">
  <autoFilter ref="G21:K34"/>
  <tableColumns count="5">
    <tableColumn id="1" name="Mes" totalsRowFunction="custom">
      <totalsRowFormula>(I34-(Tabla411[[#Totals],[Periodo]]*H34))/H33</totalsRowFormula>
    </tableColumn>
    <tableColumn id="2" name="Periodo" totalsRowFunction="custom" totalsRowDxfId="55">
      <totalsRowFormula>((H33*J34)-(H34*I34))/((H33*K34)-(H34^2))</totalsRowFormula>
    </tableColumn>
    <tableColumn id="3" name="Ventas promedio">
      <calculatedColumnFormula>Datos!M20</calculatedColumnFormula>
    </tableColumn>
    <tableColumn id="4" name="ty"/>
    <tableColumn id="5" name="t2" dataDxfId="70" totalsRowDxfId="54">
      <calculatedColumnFormula>(H22)^2</calculatedColumnFormula>
    </tableColumn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16" name="Tabla41117" displayName="Tabla41117" ref="M21:Q35" totalsRowCount="1">
  <autoFilter ref="M21:Q34"/>
  <tableColumns count="5">
    <tableColumn id="1" name="Mes" totalsRowFunction="custom">
      <totalsRowFormula>(O34-(Tabla411[[#Totals],[Periodo]]*N34))/N33</totalsRowFormula>
    </tableColumn>
    <tableColumn id="2" name="Periodo" totalsRowFunction="custom" totalsRowDxfId="53">
      <totalsRowFormula>((N33*P34)-(N34*O34))/((N33*Q34)-(N34^2))</totalsRowFormula>
    </tableColumn>
    <tableColumn id="3" name="Ventas promedio">
      <calculatedColumnFormula>Datos!S20</calculatedColumnFormula>
    </tableColumn>
    <tableColumn id="4" name="ty"/>
    <tableColumn id="5" name="t2" dataDxfId="69" totalsRowDxfId="52">
      <calculatedColumnFormula>(N22)^2</calculatedColumnFormula>
    </tableColumn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17" name="Tabla41118" displayName="Tabla41118" ref="A37:E51" totalsRowCount="1">
  <autoFilter ref="A37:E50"/>
  <tableColumns count="5">
    <tableColumn id="1" name="Mes" totalsRowFunction="custom">
      <totalsRowFormula>(C50-(Tabla411[[#Totals],[Periodo]]*B50))/B49</totalsRowFormula>
    </tableColumn>
    <tableColumn id="2" name="Periodo" totalsRowFunction="custom" totalsRowDxfId="51">
      <totalsRowFormula>((B49*D50)-(B50*C50))/((B49*E50)-(B50^2))</totalsRowFormula>
    </tableColumn>
    <tableColumn id="3" name="Ventas promedio">
      <calculatedColumnFormula>Datos!G36</calculatedColumnFormula>
    </tableColumn>
    <tableColumn id="4" name="ty"/>
    <tableColumn id="5" name="t2" dataDxfId="68" totalsRowDxfId="50">
      <calculatedColumnFormula>(B38)^2</calculatedColumnFormula>
    </tableColumn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id="18" name="Tabla41119" displayName="Tabla41119" ref="G37:K51" totalsRowCount="1">
  <autoFilter ref="G37:K50"/>
  <tableColumns count="5">
    <tableColumn id="1" name="Mes" totalsRowFunction="custom">
      <totalsRowFormula>(I50-(Tabla411[[#Totals],[Periodo]]*H50))/H49</totalsRowFormula>
    </tableColumn>
    <tableColumn id="2" name="Periodo" totalsRowFunction="custom" totalsRowDxfId="49">
      <totalsRowFormula>((H49*J50)-(H50*I50))/((H49*K50)-(H50^2))</totalsRowFormula>
    </tableColumn>
    <tableColumn id="3" name="Ventas promedio">
      <calculatedColumnFormula>Datos!M36</calculatedColumnFormula>
    </tableColumn>
    <tableColumn id="4" name="ty"/>
    <tableColumn id="5" name="t2" dataDxfId="67" totalsRowDxfId="48">
      <calculatedColumnFormula>(H38)^2</calculatedColumnFormula>
    </tableColumn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19" name="Tabla41120" displayName="Tabla41120" ref="M37:Q51" totalsRowCount="1">
  <autoFilter ref="M37:Q50"/>
  <tableColumns count="5">
    <tableColumn id="1" name="Mes" totalsRowFunction="custom">
      <totalsRowFormula>(O50-(Tabla411[[#Totals],[Periodo]]*N50))/N49</totalsRowFormula>
    </tableColumn>
    <tableColumn id="2" name="Periodo" totalsRowFunction="custom" totalsRowDxfId="47">
      <totalsRowFormula>((N49*P50)-(N50*O50))/((N49*Q50)-(N50^2))</totalsRowFormula>
    </tableColumn>
    <tableColumn id="3" name="Ventas promedio">
      <calculatedColumnFormula>Datos!S36</calculatedColumnFormula>
    </tableColumn>
    <tableColumn id="4" name="ty"/>
    <tableColumn id="5" name="t2" dataDxfId="66" totalsRowDxfId="46">
      <calculatedColumnFormula>(N38)^2</calculatedColumnFormula>
    </tableColumn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id="20" name="Tabla4111821" displayName="Tabla4111821" ref="A53:E67" totalsRowCount="1">
  <autoFilter ref="A53:E66"/>
  <tableColumns count="5">
    <tableColumn id="1" name="Mes" totalsRowFunction="custom">
      <totalsRowFormula>(C66-(Tabla411[[#Totals],[Periodo]]*B66))/B65</totalsRowFormula>
    </tableColumn>
    <tableColumn id="2" name="Periodo" totalsRowFunction="custom" totalsRowDxfId="45">
      <totalsRowFormula>((B65*D66)-(B66*C66))/((B65*E66)-(B66^2))</totalsRowFormula>
    </tableColumn>
    <tableColumn id="3" name="Ventas promedio">
      <calculatedColumnFormula>Datos!G52</calculatedColumnFormula>
    </tableColumn>
    <tableColumn id="4" name="ty"/>
    <tableColumn id="5" name="t2" dataDxfId="65" totalsRowDxfId="44">
      <calculatedColumnFormula>(B54)^2</calculatedColumnFormula>
    </tableColumn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id="5" name="Tabla5" displayName="Tabla5" ref="G54:J66" totalsRowShown="0" headerRowDxfId="103">
  <autoFilter ref="G54:J66"/>
  <tableColumns count="4">
    <tableColumn id="1" name="Mes"/>
    <tableColumn id="2" name="Pronóstico de ventas" dataDxfId="102">
      <calculatedColumnFormula>VentasProm!G67+(VentasProm!H67*VentasProm!H54)</calculatedColumnFormula>
    </tableColumn>
    <tableColumn id="3" name="IE">
      <calculatedColumnFormula>Datos!L46</calculatedColumnFormula>
    </tableColumn>
    <tableColumn id="4" name="Pronóstico de ventas ajustado" dataDxfId="101">
      <calculatedColumnFormula>Tabla5[[#This Row],[Pronóstico de ventas]]*Tabla5[[#This Row],[IE]]</calculatedColumnFormula>
    </tableColumn>
  </tableColumns>
  <tableStyleInfo name="TableStyleLight2" showFirstColumn="0" showLastColumn="0" showRowStripes="1" showColumnStripes="0"/>
</table>
</file>

<file path=xl/tables/table18.xml><?xml version="1.0" encoding="utf-8"?>
<table xmlns="http://schemas.openxmlformats.org/spreadsheetml/2006/main" id="1" name="Tabla52" displayName="Tabla52" ref="C71:D83" totalsRowShown="0" headerRowDxfId="100">
  <autoFilter ref="C71:D83"/>
  <tableColumns count="2">
    <tableColumn id="1" name="Mes"/>
    <tableColumn id="2" name="Pronóstico de ventas" dataDxfId="99">
      <calculatedColumnFormula>(((Datos!C4-Datos!B4)+(Datos!D4-Datos!C4)+(Datos!E4-Datos!D4)+(Datos!F4-Datos!E4))/(Datos!N49-1)) + Datos!F4</calculatedColumnFormula>
    </tableColumn>
  </tableColumns>
  <tableStyleInfo name="TableStyleLight2" showFirstColumn="0" showLastColumn="0" showRowStripes="1" showColumnStripes="0"/>
</table>
</file>

<file path=xl/tables/table19.xml><?xml version="1.0" encoding="utf-8"?>
<table xmlns="http://schemas.openxmlformats.org/spreadsheetml/2006/main" id="22" name="Tabla523" displayName="Tabla523" ref="B6:E18" totalsRowShown="0" headerRowDxfId="39">
  <autoFilter ref="B6:E18"/>
  <tableColumns count="4">
    <tableColumn id="1" name="Mes"/>
    <tableColumn id="2" name="Pronóstico de ventas" dataDxfId="18">
      <calculatedColumnFormula>Tabla411[[#Totals],[Mes]]*13</calculatedColumnFormula>
    </tableColumn>
    <tableColumn id="3" name="IE" dataDxfId="17">
      <calculatedColumnFormula>Datos!G19</calculatedColumnFormula>
    </tableColumn>
    <tableColumn id="4" name="Pronóstico de ventas ajustado" dataDxfId="38">
      <calculatedColumnFormula>Tabla523[[#This Row],[Pronóstico de ventas]]*Tabla523[[#This Row],[IE]]</calculatedColumnFormula>
    </tableColumn>
  </tableColumns>
  <tableStyleInfo name="TableStyleLight2" showFirstColumn="0" showLastColumn="0" showRowStripes="1" showColumnStripes="0"/>
</table>
</file>

<file path=xl/tables/table20.xml><?xml version="1.0" encoding="utf-8"?>
<table xmlns="http://schemas.openxmlformats.org/spreadsheetml/2006/main" id="23" name="Tabla52324" displayName="Tabla52324" ref="G6:J18" totalsRowShown="0" headerRowDxfId="37">
  <autoFilter ref="G6:J18"/>
  <tableColumns count="4">
    <tableColumn id="1" name="Mes"/>
    <tableColumn id="2" name="Pronóstico de ventas" dataDxfId="36"/>
    <tableColumn id="3" name="IE" dataDxfId="16">
      <calculatedColumnFormula>Datos!H19</calculatedColumnFormula>
    </tableColumn>
    <tableColumn id="4" name="Pronóstico de ventas ajustado" dataDxfId="35">
      <calculatedColumnFormula>Tabla52324[[#This Row],[Pronóstico de ventas]]*Tabla52324[[#This Row],[IE]]</calculatedColumnFormula>
    </tableColumn>
  </tableColumns>
  <tableStyleInfo name="TableStyleLight2" showFirstColumn="0" showLastColumn="0" showRowStripes="1" showColumnStripes="0"/>
</table>
</file>

<file path=xl/tables/table21.xml><?xml version="1.0" encoding="utf-8"?>
<table xmlns="http://schemas.openxmlformats.org/spreadsheetml/2006/main" id="24" name="Tabla5232425" displayName="Tabla5232425" ref="L6:O18" totalsRowShown="0" headerRowDxfId="34">
  <autoFilter ref="L6:O18"/>
  <tableColumns count="4">
    <tableColumn id="1" name="Mes"/>
    <tableColumn id="2" name="Pronóstico de ventas" dataDxfId="15">
      <calculatedColumnFormula>Tabla4111213[[#Totals],[Mes]]+(Tabla4111213[[#Totals],[Periodo]]*VentasProm!N6)</calculatedColumnFormula>
    </tableColumn>
    <tableColumn id="3" name="IE" dataDxfId="14">
      <calculatedColumnFormula>Datos!I19</calculatedColumnFormula>
    </tableColumn>
    <tableColumn id="4" name="Pronóstico de ventas ajustado" dataDxfId="33">
      <calculatedColumnFormula>Tabla5232425[[#This Row],[Pronóstico de ventas]]*Tabla5232425[[#This Row],[IE]]</calculatedColumnFormula>
    </tableColumn>
  </tableColumns>
  <tableStyleInfo name="TableStyleLight2" showFirstColumn="0" showLastColumn="0" showRowStripes="1" showColumnStripes="0"/>
</table>
</file>

<file path=xl/tables/table22.xml><?xml version="1.0" encoding="utf-8"?>
<table xmlns="http://schemas.openxmlformats.org/spreadsheetml/2006/main" id="25" name="Tabla52326" displayName="Tabla52326" ref="B22:E34" totalsRowShown="0" headerRowDxfId="32">
  <autoFilter ref="B22:E34"/>
  <tableColumns count="4">
    <tableColumn id="1" name="Mes"/>
    <tableColumn id="2" name="Pronóstico de ventas" dataDxfId="13">
      <calculatedColumnFormula>Tabla41114[[#Totals],[Mes]]+(Tabla41114[[#Totals],[Periodo]]*VentasProm!B22)</calculatedColumnFormula>
    </tableColumn>
    <tableColumn id="3" name="IE" dataDxfId="12">
      <calculatedColumnFormula>Datos!J19</calculatedColumnFormula>
    </tableColumn>
    <tableColumn id="4" name="Pronóstico de ventas ajustado" dataDxfId="31">
      <calculatedColumnFormula>Tabla52326[[#This Row],[Pronóstico de ventas]]*Tabla52326[[#This Row],[IE]]</calculatedColumnFormula>
    </tableColumn>
  </tableColumns>
  <tableStyleInfo name="TableStyleLight2" showFirstColumn="0" showLastColumn="0" showRowStripes="1" showColumnStripes="0"/>
</table>
</file>

<file path=xl/tables/table23.xml><?xml version="1.0" encoding="utf-8"?>
<table xmlns="http://schemas.openxmlformats.org/spreadsheetml/2006/main" id="26" name="Tabla52327" displayName="Tabla52327" ref="G22:J34" totalsRowShown="0" headerRowDxfId="30">
  <autoFilter ref="G22:J34"/>
  <tableColumns count="4">
    <tableColumn id="1" name="Mes"/>
    <tableColumn id="2" name="Pronóstico de ventas" dataDxfId="11">
      <calculatedColumnFormula>Tabla41115[[#Totals],[Mes]]+(Tabla41115[[#Totals],[Periodo]]*VentasProm!H22)</calculatedColumnFormula>
    </tableColumn>
    <tableColumn id="3" name="IE" dataDxfId="10">
      <calculatedColumnFormula>Datos!K19</calculatedColumnFormula>
    </tableColumn>
    <tableColumn id="4" name="Pronóstico de ventas ajustado" dataDxfId="29">
      <calculatedColumnFormula>Tabla52327[[#This Row],[Pronóstico de ventas]]*Tabla52327[[#This Row],[IE]]</calculatedColumnFormula>
    </tableColumn>
  </tableColumns>
  <tableStyleInfo name="TableStyleLight2" showFirstColumn="0" showLastColumn="0" showRowStripes="1" showColumnStripes="0"/>
</table>
</file>

<file path=xl/tables/table24.xml><?xml version="1.0" encoding="utf-8"?>
<table xmlns="http://schemas.openxmlformats.org/spreadsheetml/2006/main" id="27" name="Tabla52328" displayName="Tabla52328" ref="L22:O34" totalsRowShown="0" headerRowDxfId="28">
  <autoFilter ref="L22:O34"/>
  <tableColumns count="4">
    <tableColumn id="1" name="Mes"/>
    <tableColumn id="2" name="Pronóstico de ventas" dataDxfId="9">
      <calculatedColumnFormula>Tabla41117[[#Totals],[Mes]]+(Tabla41117[[#Totals],[Periodo]]*VentasProm!N22)</calculatedColumnFormula>
    </tableColumn>
    <tableColumn id="3" name="IE" dataDxfId="8">
      <calculatedColumnFormula>Datos!L19</calculatedColumnFormula>
    </tableColumn>
    <tableColumn id="4" name="Pronóstico de ventas ajustado" dataDxfId="27">
      <calculatedColumnFormula>Tabla52328[[#This Row],[Pronóstico de ventas]]*Tabla52328[[#This Row],[IE]]</calculatedColumnFormula>
    </tableColumn>
  </tableColumns>
  <tableStyleInfo name="TableStyleLight2" showFirstColumn="0" showLastColumn="0" showRowStripes="1" showColumnStripes="0"/>
</table>
</file>

<file path=xl/tables/table25.xml><?xml version="1.0" encoding="utf-8"?>
<table xmlns="http://schemas.openxmlformats.org/spreadsheetml/2006/main" id="29" name="Tabla5232630" displayName="Tabla5232630" ref="B38:E50" totalsRowShown="0" headerRowDxfId="26">
  <autoFilter ref="B38:E50"/>
  <tableColumns count="4">
    <tableColumn id="1" name="Mes"/>
    <tableColumn id="2" name="Pronóstico de ventas" dataDxfId="7">
      <calculatedColumnFormula>Tabla41118[[#Totals],[Mes]]+(Tabla41118[[#Totals],[Periodo]]*VentasProm!B38)</calculatedColumnFormula>
    </tableColumn>
    <tableColumn id="3" name="IE" dataDxfId="6">
      <calculatedColumnFormula>Datos!M19</calculatedColumnFormula>
    </tableColumn>
    <tableColumn id="4" name="Pronóstico de ventas ajustado" dataDxfId="25">
      <calculatedColumnFormula>Tabla5232630[[#This Row],[Pronóstico de ventas]]*Tabla5232630[[#This Row],[IE]]</calculatedColumnFormula>
    </tableColumn>
  </tableColumns>
  <tableStyleInfo name="TableStyleLight2" showFirstColumn="0" showLastColumn="0" showRowStripes="1" showColumnStripes="0"/>
</table>
</file>

<file path=xl/tables/table26.xml><?xml version="1.0" encoding="utf-8"?>
<table xmlns="http://schemas.openxmlformats.org/spreadsheetml/2006/main" id="30" name="Tabla523263031" displayName="Tabla523263031" ref="G38:J50" totalsRowShown="0" headerRowDxfId="24">
  <autoFilter ref="G38:J50"/>
  <tableColumns count="4">
    <tableColumn id="1" name="Mes"/>
    <tableColumn id="2" name="Pronóstico de ventas" dataDxfId="5">
      <calculatedColumnFormula>Tabla41119[[#Totals],[Mes]]+(Tabla41119[[#Totals],[Periodo]]*VentasProm!H38)</calculatedColumnFormula>
    </tableColumn>
    <tableColumn id="3" name="IE" dataDxfId="4">
      <calculatedColumnFormula>Datos!N19</calculatedColumnFormula>
    </tableColumn>
    <tableColumn id="4" name="Pronóstico de ventas ajustado" dataDxfId="23">
      <calculatedColumnFormula>Tabla523263031[[#This Row],[Pronóstico de ventas]]*Tabla523263031[[#This Row],[IE]]</calculatedColumnFormula>
    </tableColumn>
  </tableColumns>
  <tableStyleInfo name="TableStyleLight2" showFirstColumn="0" showLastColumn="0" showRowStripes="1" showColumnStripes="0"/>
</table>
</file>

<file path=xl/tables/table27.xml><?xml version="1.0" encoding="utf-8"?>
<table xmlns="http://schemas.openxmlformats.org/spreadsheetml/2006/main" id="31" name="Tabla523263032" displayName="Tabla523263032" ref="L38:O50" totalsRowShown="0" headerRowDxfId="22">
  <autoFilter ref="L38:O50"/>
  <tableColumns count="4">
    <tableColumn id="1" name="Mes"/>
    <tableColumn id="2" name="Pronóstico de ventas" dataDxfId="3">
      <calculatedColumnFormula>Tabla41120[[#Totals],[Mes]]+(Tabla41120[[#Totals],[Periodo]]*VentasProm!N38)</calculatedColumnFormula>
    </tableColumn>
    <tableColumn id="3" name="IE" dataDxfId="2">
      <calculatedColumnFormula>Datos!O19</calculatedColumnFormula>
    </tableColumn>
    <tableColumn id="4" name="Pronóstico de ventas ajustado" dataDxfId="21">
      <calculatedColumnFormula>Tabla523263032[[#This Row],[Pronóstico de ventas]]*Tabla523263032[[#This Row],[IE]]</calculatedColumnFormula>
    </tableColumn>
  </tableColumns>
  <tableStyleInfo name="TableStyleLight2" showFirstColumn="0" showLastColumn="0" showRowStripes="1" showColumnStripes="0"/>
</table>
</file>

<file path=xl/tables/table28.xml><?xml version="1.0" encoding="utf-8"?>
<table xmlns="http://schemas.openxmlformats.org/spreadsheetml/2006/main" id="32" name="Tabla523263033" displayName="Tabla523263033" ref="B54:E66" totalsRowShown="0" headerRowDxfId="20">
  <autoFilter ref="B54:E66"/>
  <tableColumns count="4">
    <tableColumn id="1" name="Mes"/>
    <tableColumn id="2" name="Pronóstico de ventas" dataDxfId="1">
      <calculatedColumnFormula>Tabla4111821[[#Totals],[Mes]]+(Tabla4111821[[#Totals],[Periodo]]*VentasProm!B54)</calculatedColumnFormula>
    </tableColumn>
    <tableColumn id="3" name="IE" dataDxfId="0">
      <calculatedColumnFormula>Datos!P19</calculatedColumnFormula>
    </tableColumn>
    <tableColumn id="4" name="Pronóstico de ventas ajustado" dataDxfId="19">
      <calculatedColumnFormula>Tabla523263033[[#This Row],[Pronóstico de ventas]]*Tabla523263033[[#This Row],[IE]]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PowerPoint_Slide.sldx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2.xml"/><Relationship Id="rId13" Type="http://schemas.openxmlformats.org/officeDocument/2006/relationships/table" Target="../tables/table27.xml"/><Relationship Id="rId3" Type="http://schemas.openxmlformats.org/officeDocument/2006/relationships/table" Target="../tables/table17.xml"/><Relationship Id="rId7" Type="http://schemas.openxmlformats.org/officeDocument/2006/relationships/table" Target="../tables/table21.xml"/><Relationship Id="rId12" Type="http://schemas.openxmlformats.org/officeDocument/2006/relationships/table" Target="../tables/table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0.xml"/><Relationship Id="rId11" Type="http://schemas.openxmlformats.org/officeDocument/2006/relationships/table" Target="../tables/table25.xml"/><Relationship Id="rId5" Type="http://schemas.openxmlformats.org/officeDocument/2006/relationships/table" Target="../tables/table19.xml"/><Relationship Id="rId10" Type="http://schemas.openxmlformats.org/officeDocument/2006/relationships/table" Target="../tables/table24.xml"/><Relationship Id="rId4" Type="http://schemas.openxmlformats.org/officeDocument/2006/relationships/table" Target="../tables/table18.xml"/><Relationship Id="rId9" Type="http://schemas.openxmlformats.org/officeDocument/2006/relationships/table" Target="../tables/table23.xml"/><Relationship Id="rId14" Type="http://schemas.openxmlformats.org/officeDocument/2006/relationships/table" Target="../tables/table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showGridLines="0" showRowColHeaders="0" tabSelected="1" zoomScaleNormal="100" workbookViewId="0">
      <selection activeCell="D24" sqref="D24"/>
    </sheetView>
  </sheetViews>
  <sheetFormatPr baseColWidth="10" defaultRowHeight="1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owerPoint.Slide.12" shapeId="5121" r:id="rId4">
          <objectPr defaultSize="0" r:id="rId5">
            <anchor moveWithCells="1">
              <from>
                <xdr:col>3</xdr:col>
                <xdr:colOff>0</xdr:colOff>
                <xdr:row>0</xdr:row>
                <xdr:rowOff>57150</xdr:rowOff>
              </from>
              <to>
                <xdr:col>13</xdr:col>
                <xdr:colOff>190500</xdr:colOff>
                <xdr:row>23</xdr:row>
                <xdr:rowOff>66675</xdr:rowOff>
              </to>
            </anchor>
          </objectPr>
        </oleObject>
      </mc:Choice>
      <mc:Fallback>
        <oleObject progId="PowerPoint.Slide.12" shapeId="512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showGridLines="0" showRowColHeaders="0" zoomScale="70" zoomScaleNormal="70" workbookViewId="0"/>
  </sheetViews>
  <sheetFormatPr baseColWidth="10" defaultRowHeight="15"/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U64"/>
  <sheetViews>
    <sheetView showGridLines="0" workbookViewId="0">
      <selection activeCell="C4" sqref="C4"/>
    </sheetView>
  </sheetViews>
  <sheetFormatPr baseColWidth="10" defaultRowHeight="15"/>
  <cols>
    <col min="2" max="6" width="10.5703125" customWidth="1"/>
    <col min="7" max="7" width="20.140625" customWidth="1"/>
    <col min="8" max="8" width="20.140625" bestFit="1" customWidth="1"/>
    <col min="9" max="12" width="20.140625" customWidth="1"/>
    <col min="13" max="14" width="20.140625" bestFit="1" customWidth="1"/>
    <col min="15" max="16" width="20.140625" customWidth="1"/>
    <col min="17" max="17" width="16.5703125" bestFit="1" customWidth="1"/>
  </cols>
  <sheetData>
    <row r="1" spans="1:21" ht="15" customHeight="1">
      <c r="A1" s="17" t="s">
        <v>17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21" ht="15" customHeight="1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</row>
    <row r="3" spans="1:21">
      <c r="A3" s="1" t="s">
        <v>18</v>
      </c>
      <c r="B3" s="1" t="s">
        <v>30</v>
      </c>
      <c r="C3" s="1" t="s">
        <v>31</v>
      </c>
      <c r="D3" s="1" t="s">
        <v>32</v>
      </c>
      <c r="E3" s="1" t="s">
        <v>33</v>
      </c>
      <c r="F3" s="1" t="s">
        <v>34</v>
      </c>
      <c r="G3" t="s">
        <v>35</v>
      </c>
      <c r="H3" t="s">
        <v>36</v>
      </c>
      <c r="I3" t="s">
        <v>37</v>
      </c>
      <c r="J3" t="s">
        <v>38</v>
      </c>
      <c r="K3" t="s">
        <v>39</v>
      </c>
      <c r="L3" t="s">
        <v>40</v>
      </c>
      <c r="M3" t="s">
        <v>41</v>
      </c>
      <c r="N3" t="s">
        <v>42</v>
      </c>
      <c r="O3" t="s">
        <v>43</v>
      </c>
      <c r="P3" t="s">
        <v>44</v>
      </c>
      <c r="Q3" t="s">
        <v>45</v>
      </c>
      <c r="R3" s="9"/>
      <c r="S3" s="9"/>
      <c r="T3" s="9"/>
      <c r="U3" s="9"/>
    </row>
    <row r="4" spans="1:21">
      <c r="A4" t="s">
        <v>5</v>
      </c>
      <c r="B4">
        <v>1000</v>
      </c>
      <c r="C4">
        <v>0</v>
      </c>
      <c r="D4">
        <v>0</v>
      </c>
      <c r="E4">
        <v>0</v>
      </c>
      <c r="F4">
        <v>1000</v>
      </c>
      <c r="G4">
        <f>(Tabla3[[#This Row],[Año 1]]+Tabla3[[#This Row],[Año 2]])/2</f>
        <v>500</v>
      </c>
      <c r="H4">
        <f>(Tabla3[[#This Row],[Año 1]]+Tabla3[[#This Row],[Año 3]])/2</f>
        <v>500</v>
      </c>
      <c r="I4">
        <f>(Tabla3[[#This Row],[Año 1]]+Tabla3[[#This Row],[Año 4]])/2</f>
        <v>500</v>
      </c>
      <c r="J4">
        <f>(Tabla3[[#This Row],[Año 1]]+Tabla3[[#This Row],[Año 5]])</f>
        <v>2000</v>
      </c>
      <c r="K4">
        <f>(Tabla3[[#This Row],[Año 2]]+Tabla3[[#This Row],[Año 3]])/2</f>
        <v>0</v>
      </c>
      <c r="L4">
        <f>(Tabla3[[#This Row],[Año 2]]+Tabla3[[#This Row],[Año 4]])/2</f>
        <v>0</v>
      </c>
      <c r="M4">
        <f>(Tabla3[[#This Row],[Año 2]]+Tabla3[[#This Row],[Año 5]])/2</f>
        <v>500</v>
      </c>
      <c r="N4">
        <f>(Tabla3[[#This Row],[Año 3]]+Tabla3[[#This Row],[Año 4]])</f>
        <v>0</v>
      </c>
      <c r="O4">
        <f>(Tabla3[[#This Row],[Año 3]]+Tabla3[[#This Row],[Año 5]])/2</f>
        <v>500</v>
      </c>
      <c r="P4">
        <f>(Tabla3[[#This Row],[Año 4]]+Tabla3[[#This Row],[Año 5]])/2</f>
        <v>500</v>
      </c>
      <c r="Q4">
        <f>SUM(B4:F4)/5</f>
        <v>400</v>
      </c>
      <c r="R4" s="9"/>
      <c r="S4" s="9"/>
      <c r="T4" s="9"/>
      <c r="U4" s="9"/>
    </row>
    <row r="5" spans="1:21">
      <c r="A5" t="s">
        <v>19</v>
      </c>
      <c r="B5">
        <v>2000</v>
      </c>
      <c r="C5">
        <v>0</v>
      </c>
      <c r="D5">
        <v>0</v>
      </c>
      <c r="E5">
        <v>0</v>
      </c>
      <c r="F5">
        <v>20000</v>
      </c>
      <c r="G5">
        <f>(Tabla3[[#This Row],[Año 1]]+Tabla3[[#This Row],[Año 2]])/2</f>
        <v>1000</v>
      </c>
      <c r="H5">
        <f>(Tabla3[[#This Row],[Año 1]]+Tabla3[[#This Row],[Año 3]])/2</f>
        <v>1000</v>
      </c>
      <c r="I5">
        <f>(Tabla3[[#This Row],[Año 1]]+Tabla3[[#This Row],[Año 4]])/2</f>
        <v>1000</v>
      </c>
      <c r="J5">
        <f>(Tabla3[[#This Row],[Año 1]]+Tabla3[[#This Row],[Año 5]])</f>
        <v>22000</v>
      </c>
      <c r="K5">
        <f>(Tabla3[[#This Row],[Año 2]]+Tabla3[[#This Row],[Año 3]])/2</f>
        <v>0</v>
      </c>
      <c r="L5">
        <f>(Tabla3[[#This Row],[Año 2]]+Tabla3[[#This Row],[Año 4]])/2</f>
        <v>0</v>
      </c>
      <c r="M5">
        <f>(Tabla3[[#This Row],[Año 2]]+Tabla3[[#This Row],[Año 5]])/2</f>
        <v>10000</v>
      </c>
      <c r="N5">
        <f>(Tabla3[[#This Row],[Año 3]]+Tabla3[[#This Row],[Año 4]])</f>
        <v>0</v>
      </c>
      <c r="O5">
        <f>(Tabla3[[#This Row],[Año 3]]+Tabla3[[#This Row],[Año 5]])/2</f>
        <v>10000</v>
      </c>
      <c r="P5">
        <f>(Tabla3[[#This Row],[Año 4]]+Tabla3[[#This Row],[Año 5]])/2</f>
        <v>10000</v>
      </c>
      <c r="Q5">
        <f>SUM(B5:F5)/5</f>
        <v>4400</v>
      </c>
      <c r="R5" s="9"/>
      <c r="S5" s="9"/>
      <c r="T5" s="9"/>
      <c r="U5" s="9"/>
    </row>
    <row r="6" spans="1:21">
      <c r="A6" t="s">
        <v>7</v>
      </c>
      <c r="B6">
        <v>3000</v>
      </c>
      <c r="C6">
        <v>0</v>
      </c>
      <c r="D6">
        <v>0</v>
      </c>
      <c r="E6">
        <v>0</v>
      </c>
      <c r="F6">
        <v>30000</v>
      </c>
      <c r="G6">
        <f>(Tabla3[[#This Row],[Año 1]]+Tabla3[[#This Row],[Año 2]])/2</f>
        <v>1500</v>
      </c>
      <c r="H6">
        <f>(Tabla3[[#This Row],[Año 1]]+Tabla3[[#This Row],[Año 3]])/2</f>
        <v>1500</v>
      </c>
      <c r="I6">
        <f>(Tabla3[[#This Row],[Año 1]]+Tabla3[[#This Row],[Año 4]])/2</f>
        <v>1500</v>
      </c>
      <c r="J6">
        <f>(Tabla3[[#This Row],[Año 1]]+Tabla3[[#This Row],[Año 5]])</f>
        <v>33000</v>
      </c>
      <c r="K6">
        <f>(Tabla3[[#This Row],[Año 2]]+Tabla3[[#This Row],[Año 3]])/2</f>
        <v>0</v>
      </c>
      <c r="L6">
        <f>(Tabla3[[#This Row],[Año 2]]+Tabla3[[#This Row],[Año 4]])/2</f>
        <v>0</v>
      </c>
      <c r="M6">
        <f>(Tabla3[[#This Row],[Año 2]]+Tabla3[[#This Row],[Año 5]])/2</f>
        <v>15000</v>
      </c>
      <c r="N6">
        <f>(Tabla3[[#This Row],[Año 3]]+Tabla3[[#This Row],[Año 4]])</f>
        <v>0</v>
      </c>
      <c r="O6">
        <f>(Tabla3[[#This Row],[Año 3]]+Tabla3[[#This Row],[Año 5]])/2</f>
        <v>15000</v>
      </c>
      <c r="P6">
        <f>(Tabla3[[#This Row],[Año 4]]+Tabla3[[#This Row],[Año 5]])/2</f>
        <v>15000</v>
      </c>
      <c r="Q6">
        <f>SUM(B6:F6)/5</f>
        <v>6600</v>
      </c>
      <c r="R6" s="9"/>
      <c r="S6" s="9"/>
      <c r="T6" s="9"/>
      <c r="U6" s="9"/>
    </row>
    <row r="7" spans="1:21">
      <c r="A7" t="s">
        <v>8</v>
      </c>
      <c r="B7">
        <v>1000</v>
      </c>
      <c r="C7">
        <v>0</v>
      </c>
      <c r="D7">
        <v>0</v>
      </c>
      <c r="E7">
        <v>0</v>
      </c>
      <c r="F7">
        <v>1000</v>
      </c>
      <c r="G7">
        <f>(Tabla3[[#This Row],[Año 1]]+Tabla3[[#This Row],[Año 2]])/2</f>
        <v>500</v>
      </c>
      <c r="H7">
        <f>(Tabla3[[#This Row],[Año 1]]+Tabla3[[#This Row],[Año 3]])/2</f>
        <v>500</v>
      </c>
      <c r="I7">
        <f>(Tabla3[[#This Row],[Año 1]]+Tabla3[[#This Row],[Año 4]])/2</f>
        <v>500</v>
      </c>
      <c r="J7">
        <f>(Tabla3[[#This Row],[Año 1]]+Tabla3[[#This Row],[Año 5]])</f>
        <v>2000</v>
      </c>
      <c r="K7">
        <f>(Tabla3[[#This Row],[Año 2]]+Tabla3[[#This Row],[Año 3]])/2</f>
        <v>0</v>
      </c>
      <c r="L7">
        <f>(Tabla3[[#This Row],[Año 2]]+Tabla3[[#This Row],[Año 4]])/2</f>
        <v>0</v>
      </c>
      <c r="M7">
        <f>(Tabla3[[#This Row],[Año 2]]+Tabla3[[#This Row],[Año 5]])/2</f>
        <v>500</v>
      </c>
      <c r="N7">
        <f>(Tabla3[[#This Row],[Año 3]]+Tabla3[[#This Row],[Año 4]])</f>
        <v>0</v>
      </c>
      <c r="O7">
        <f>(Tabla3[[#This Row],[Año 3]]+Tabla3[[#This Row],[Año 5]])/2</f>
        <v>500</v>
      </c>
      <c r="P7">
        <f>(Tabla3[[#This Row],[Año 4]]+Tabla3[[#This Row],[Año 5]])/2</f>
        <v>500</v>
      </c>
      <c r="Q7">
        <f>SUM(B7:F7)/5</f>
        <v>400</v>
      </c>
      <c r="R7" s="9"/>
      <c r="S7" s="9"/>
      <c r="T7" s="9"/>
      <c r="U7" s="9"/>
    </row>
    <row r="8" spans="1:21">
      <c r="A8" t="s">
        <v>9</v>
      </c>
      <c r="B8">
        <v>2000</v>
      </c>
      <c r="C8">
        <v>0</v>
      </c>
      <c r="D8">
        <v>0</v>
      </c>
      <c r="E8">
        <v>0</v>
      </c>
      <c r="F8">
        <v>1000</v>
      </c>
      <c r="G8">
        <f>(Tabla3[[#This Row],[Año 1]]+Tabla3[[#This Row],[Año 2]])/2</f>
        <v>1000</v>
      </c>
      <c r="H8">
        <f>(Tabla3[[#This Row],[Año 1]]+Tabla3[[#This Row],[Año 3]])/2</f>
        <v>1000</v>
      </c>
      <c r="I8">
        <f>(Tabla3[[#This Row],[Año 1]]+Tabla3[[#This Row],[Año 4]])/2</f>
        <v>1000</v>
      </c>
      <c r="J8">
        <f>(Tabla3[[#This Row],[Año 1]]+Tabla3[[#This Row],[Año 5]])</f>
        <v>3000</v>
      </c>
      <c r="K8">
        <f>(Tabla3[[#This Row],[Año 2]]+Tabla3[[#This Row],[Año 3]])/2</f>
        <v>0</v>
      </c>
      <c r="L8">
        <f>(Tabla3[[#This Row],[Año 2]]+Tabla3[[#This Row],[Año 4]])/2</f>
        <v>0</v>
      </c>
      <c r="M8">
        <f>(Tabla3[[#This Row],[Año 2]]+Tabla3[[#This Row],[Año 5]])/2</f>
        <v>500</v>
      </c>
      <c r="N8">
        <f>(Tabla3[[#This Row],[Año 3]]+Tabla3[[#This Row],[Año 4]])</f>
        <v>0</v>
      </c>
      <c r="O8">
        <f>(Tabla3[[#This Row],[Año 3]]+Tabla3[[#This Row],[Año 5]])/2</f>
        <v>500</v>
      </c>
      <c r="P8">
        <f>(Tabla3[[#This Row],[Año 4]]+Tabla3[[#This Row],[Año 5]])/2</f>
        <v>500</v>
      </c>
      <c r="Q8">
        <f>SUM(B8:F8)/5</f>
        <v>600</v>
      </c>
      <c r="R8" s="9"/>
      <c r="S8" s="9"/>
      <c r="T8" s="9"/>
      <c r="U8" s="9"/>
    </row>
    <row r="9" spans="1:21">
      <c r="A9" t="s">
        <v>10</v>
      </c>
      <c r="B9">
        <v>3000</v>
      </c>
      <c r="C9">
        <v>0</v>
      </c>
      <c r="D9">
        <v>0</v>
      </c>
      <c r="E9">
        <v>0</v>
      </c>
      <c r="F9">
        <v>1000</v>
      </c>
      <c r="G9">
        <f>(Tabla3[[#This Row],[Año 1]]+Tabla3[[#This Row],[Año 2]])/2</f>
        <v>1500</v>
      </c>
      <c r="H9">
        <f>(Tabla3[[#This Row],[Año 1]]+Tabla3[[#This Row],[Año 3]])/2</f>
        <v>1500</v>
      </c>
      <c r="I9">
        <f>(Tabla3[[#This Row],[Año 1]]+Tabla3[[#This Row],[Año 4]])/2</f>
        <v>1500</v>
      </c>
      <c r="J9">
        <f>(Tabla3[[#This Row],[Año 1]]+Tabla3[[#This Row],[Año 5]])</f>
        <v>4000</v>
      </c>
      <c r="K9">
        <f>(Tabla3[[#This Row],[Año 2]]+Tabla3[[#This Row],[Año 3]])/2</f>
        <v>0</v>
      </c>
      <c r="L9">
        <f>(Tabla3[[#This Row],[Año 2]]+Tabla3[[#This Row],[Año 4]])/2</f>
        <v>0</v>
      </c>
      <c r="M9">
        <f>(Tabla3[[#This Row],[Año 2]]+Tabla3[[#This Row],[Año 5]])/2</f>
        <v>500</v>
      </c>
      <c r="N9">
        <f>(Tabla3[[#This Row],[Año 3]]+Tabla3[[#This Row],[Año 4]])</f>
        <v>0</v>
      </c>
      <c r="O9">
        <f>(Tabla3[[#This Row],[Año 3]]+Tabla3[[#This Row],[Año 5]])/2</f>
        <v>500</v>
      </c>
      <c r="P9">
        <f>(Tabla3[[#This Row],[Año 4]]+Tabla3[[#This Row],[Año 5]])/2</f>
        <v>500</v>
      </c>
      <c r="Q9">
        <f>SUM(B9:F9)/5</f>
        <v>800</v>
      </c>
      <c r="R9" s="9"/>
      <c r="S9" s="9"/>
      <c r="T9" s="9"/>
      <c r="U9" s="9"/>
    </row>
    <row r="10" spans="1:21">
      <c r="A10" t="s">
        <v>11</v>
      </c>
      <c r="B10">
        <v>5000</v>
      </c>
      <c r="C10">
        <v>0</v>
      </c>
      <c r="D10">
        <v>0</v>
      </c>
      <c r="E10">
        <v>0</v>
      </c>
      <c r="F10">
        <v>200</v>
      </c>
      <c r="G10">
        <f>(Tabla3[[#This Row],[Año 1]]+Tabla3[[#This Row],[Año 2]])/2</f>
        <v>2500</v>
      </c>
      <c r="H10">
        <f>(Tabla3[[#This Row],[Año 1]]+Tabla3[[#This Row],[Año 3]])/2</f>
        <v>2500</v>
      </c>
      <c r="I10">
        <f>(Tabla3[[#This Row],[Año 1]]+Tabla3[[#This Row],[Año 4]])/2</f>
        <v>2500</v>
      </c>
      <c r="J10">
        <f>(Tabla3[[#This Row],[Año 1]]+Tabla3[[#This Row],[Año 5]])</f>
        <v>5200</v>
      </c>
      <c r="K10">
        <f>(Tabla3[[#This Row],[Año 2]]+Tabla3[[#This Row],[Año 3]])/2</f>
        <v>0</v>
      </c>
      <c r="L10">
        <f>(Tabla3[[#This Row],[Año 2]]+Tabla3[[#This Row],[Año 4]])/2</f>
        <v>0</v>
      </c>
      <c r="M10">
        <f>(Tabla3[[#This Row],[Año 2]]+Tabla3[[#This Row],[Año 5]])/2</f>
        <v>100</v>
      </c>
      <c r="N10">
        <f>(Tabla3[[#This Row],[Año 3]]+Tabla3[[#This Row],[Año 4]])</f>
        <v>0</v>
      </c>
      <c r="O10">
        <f>(Tabla3[[#This Row],[Año 3]]+Tabla3[[#This Row],[Año 5]])/2</f>
        <v>100</v>
      </c>
      <c r="P10">
        <f>(Tabla3[[#This Row],[Año 4]]+Tabla3[[#This Row],[Año 5]])/2</f>
        <v>100</v>
      </c>
      <c r="Q10">
        <f>SUM(B10:F10)/5</f>
        <v>1040</v>
      </c>
      <c r="R10" s="9"/>
      <c r="S10" s="9"/>
      <c r="T10" s="9"/>
      <c r="U10" s="9"/>
    </row>
    <row r="11" spans="1:21">
      <c r="A11" t="s">
        <v>12</v>
      </c>
      <c r="B11">
        <v>9000</v>
      </c>
      <c r="C11">
        <v>0</v>
      </c>
      <c r="D11">
        <v>0</v>
      </c>
      <c r="E11">
        <v>0</v>
      </c>
      <c r="F11">
        <v>100</v>
      </c>
      <c r="G11">
        <f>(Tabla3[[#This Row],[Año 1]]+Tabla3[[#This Row],[Año 2]])/2</f>
        <v>4500</v>
      </c>
      <c r="H11">
        <f>(Tabla3[[#This Row],[Año 1]]+Tabla3[[#This Row],[Año 3]])/2</f>
        <v>4500</v>
      </c>
      <c r="I11">
        <f>(Tabla3[[#This Row],[Año 1]]+Tabla3[[#This Row],[Año 4]])/2</f>
        <v>4500</v>
      </c>
      <c r="J11">
        <f>(Tabla3[[#This Row],[Año 1]]+Tabla3[[#This Row],[Año 5]])</f>
        <v>9100</v>
      </c>
      <c r="K11">
        <f>(Tabla3[[#This Row],[Año 2]]+Tabla3[[#This Row],[Año 3]])/2</f>
        <v>0</v>
      </c>
      <c r="L11">
        <f>(Tabla3[[#This Row],[Año 2]]+Tabla3[[#This Row],[Año 4]])/2</f>
        <v>0</v>
      </c>
      <c r="M11">
        <f>(Tabla3[[#This Row],[Año 2]]+Tabla3[[#This Row],[Año 5]])/2</f>
        <v>50</v>
      </c>
      <c r="N11">
        <f>(Tabla3[[#This Row],[Año 3]]+Tabla3[[#This Row],[Año 4]])</f>
        <v>0</v>
      </c>
      <c r="O11">
        <f>(Tabla3[[#This Row],[Año 3]]+Tabla3[[#This Row],[Año 5]])/2</f>
        <v>50</v>
      </c>
      <c r="P11">
        <f>(Tabla3[[#This Row],[Año 4]]+Tabla3[[#This Row],[Año 5]])/2</f>
        <v>50</v>
      </c>
      <c r="Q11">
        <f>SUM(B11:F11)/5</f>
        <v>1820</v>
      </c>
      <c r="R11" s="9"/>
      <c r="S11" s="9"/>
      <c r="T11" s="9"/>
      <c r="U11" s="9"/>
    </row>
    <row r="12" spans="1:21">
      <c r="A12" t="s">
        <v>13</v>
      </c>
      <c r="B12">
        <v>1000</v>
      </c>
      <c r="C12">
        <v>0</v>
      </c>
      <c r="D12">
        <v>0</v>
      </c>
      <c r="E12">
        <v>0</v>
      </c>
      <c r="F12">
        <v>4000</v>
      </c>
      <c r="G12">
        <f>(Tabla3[[#This Row],[Año 1]]+Tabla3[[#This Row],[Año 2]])/2</f>
        <v>500</v>
      </c>
      <c r="H12">
        <f>(Tabla3[[#This Row],[Año 1]]+Tabla3[[#This Row],[Año 3]])/2</f>
        <v>500</v>
      </c>
      <c r="I12">
        <f>(Tabla3[[#This Row],[Año 1]]+Tabla3[[#This Row],[Año 4]])/2</f>
        <v>500</v>
      </c>
      <c r="J12">
        <f>(Tabla3[[#This Row],[Año 1]]+Tabla3[[#This Row],[Año 5]])</f>
        <v>5000</v>
      </c>
      <c r="K12">
        <f>(Tabla3[[#This Row],[Año 2]]+Tabla3[[#This Row],[Año 3]])/2</f>
        <v>0</v>
      </c>
      <c r="L12">
        <f>(Tabla3[[#This Row],[Año 2]]+Tabla3[[#This Row],[Año 4]])/2</f>
        <v>0</v>
      </c>
      <c r="M12">
        <f>(Tabla3[[#This Row],[Año 2]]+Tabla3[[#This Row],[Año 5]])/2</f>
        <v>2000</v>
      </c>
      <c r="N12">
        <f>(Tabla3[[#This Row],[Año 3]]+Tabla3[[#This Row],[Año 4]])</f>
        <v>0</v>
      </c>
      <c r="O12">
        <f>(Tabla3[[#This Row],[Año 3]]+Tabla3[[#This Row],[Año 5]])/2</f>
        <v>2000</v>
      </c>
      <c r="P12">
        <f>(Tabla3[[#This Row],[Año 4]]+Tabla3[[#This Row],[Año 5]])/2</f>
        <v>2000</v>
      </c>
      <c r="Q12">
        <f>SUM(B12:F12)/5</f>
        <v>1000</v>
      </c>
      <c r="R12" s="9"/>
      <c r="S12" s="9"/>
      <c r="T12" s="9"/>
      <c r="U12" s="9"/>
    </row>
    <row r="13" spans="1:21">
      <c r="A13" t="s">
        <v>14</v>
      </c>
      <c r="B13">
        <v>2000</v>
      </c>
      <c r="C13">
        <v>0</v>
      </c>
      <c r="D13">
        <v>0</v>
      </c>
      <c r="E13">
        <v>0</v>
      </c>
      <c r="F13">
        <v>5400</v>
      </c>
      <c r="G13">
        <f>(Tabla3[[#This Row],[Año 1]]+Tabla3[[#This Row],[Año 2]])/2</f>
        <v>1000</v>
      </c>
      <c r="H13">
        <f>(Tabla3[[#This Row],[Año 1]]+Tabla3[[#This Row],[Año 3]])/2</f>
        <v>1000</v>
      </c>
      <c r="I13">
        <f>(Tabla3[[#This Row],[Año 1]]+Tabla3[[#This Row],[Año 4]])/2</f>
        <v>1000</v>
      </c>
      <c r="J13">
        <f>(Tabla3[[#This Row],[Año 1]]+Tabla3[[#This Row],[Año 5]])</f>
        <v>7400</v>
      </c>
      <c r="K13">
        <f>(Tabla3[[#This Row],[Año 2]]+Tabla3[[#This Row],[Año 3]])/2</f>
        <v>0</v>
      </c>
      <c r="L13">
        <f>(Tabla3[[#This Row],[Año 2]]+Tabla3[[#This Row],[Año 4]])/2</f>
        <v>0</v>
      </c>
      <c r="M13">
        <f>(Tabla3[[#This Row],[Año 2]]+Tabla3[[#This Row],[Año 5]])/2</f>
        <v>2700</v>
      </c>
      <c r="N13">
        <f>(Tabla3[[#This Row],[Año 3]]+Tabla3[[#This Row],[Año 4]])</f>
        <v>0</v>
      </c>
      <c r="O13">
        <f>(Tabla3[[#This Row],[Año 3]]+Tabla3[[#This Row],[Año 5]])/2</f>
        <v>2700</v>
      </c>
      <c r="P13">
        <f>(Tabla3[[#This Row],[Año 4]]+Tabla3[[#This Row],[Año 5]])/2</f>
        <v>2700</v>
      </c>
      <c r="Q13">
        <f>SUM(B13:F13)/5</f>
        <v>1480</v>
      </c>
      <c r="R13" s="9"/>
      <c r="S13" s="9"/>
      <c r="T13" s="9"/>
      <c r="U13" s="9"/>
    </row>
    <row r="14" spans="1:21">
      <c r="A14" t="s">
        <v>15</v>
      </c>
      <c r="B14">
        <v>3000</v>
      </c>
      <c r="C14">
        <v>0</v>
      </c>
      <c r="D14">
        <v>0</v>
      </c>
      <c r="E14">
        <v>0</v>
      </c>
      <c r="F14">
        <v>1000</v>
      </c>
      <c r="G14">
        <f>(Tabla3[[#This Row],[Año 1]]+Tabla3[[#This Row],[Año 2]])/2</f>
        <v>1500</v>
      </c>
      <c r="H14">
        <f>(Tabla3[[#This Row],[Año 1]]+Tabla3[[#This Row],[Año 3]])/2</f>
        <v>1500</v>
      </c>
      <c r="I14">
        <f>(Tabla3[[#This Row],[Año 1]]+Tabla3[[#This Row],[Año 4]])/2</f>
        <v>1500</v>
      </c>
      <c r="J14">
        <f>(Tabla3[[#This Row],[Año 1]]+Tabla3[[#This Row],[Año 5]])</f>
        <v>4000</v>
      </c>
      <c r="K14">
        <f>(Tabla3[[#This Row],[Año 2]]+Tabla3[[#This Row],[Año 3]])/2</f>
        <v>0</v>
      </c>
      <c r="L14">
        <f>(Tabla3[[#This Row],[Año 2]]+Tabla3[[#This Row],[Año 4]])/2</f>
        <v>0</v>
      </c>
      <c r="M14">
        <f>(Tabla3[[#This Row],[Año 2]]+Tabla3[[#This Row],[Año 5]])/2</f>
        <v>500</v>
      </c>
      <c r="N14">
        <f>(Tabla3[[#This Row],[Año 3]]+Tabla3[[#This Row],[Año 4]])</f>
        <v>0</v>
      </c>
      <c r="O14">
        <f>(Tabla3[[#This Row],[Año 3]]+Tabla3[[#This Row],[Año 5]])/2</f>
        <v>500</v>
      </c>
      <c r="P14">
        <f>(Tabla3[[#This Row],[Año 4]]+Tabla3[[#This Row],[Año 5]])/2</f>
        <v>500</v>
      </c>
      <c r="Q14">
        <f>SUM(B14:F14)/5</f>
        <v>800</v>
      </c>
      <c r="R14" s="9"/>
      <c r="S14" s="9"/>
      <c r="T14" s="9"/>
      <c r="U14" s="9"/>
    </row>
    <row r="15" spans="1:21">
      <c r="A15" t="s">
        <v>16</v>
      </c>
      <c r="B15">
        <v>4000</v>
      </c>
      <c r="C15">
        <v>0</v>
      </c>
      <c r="D15">
        <v>0</v>
      </c>
      <c r="E15">
        <v>0</v>
      </c>
      <c r="F15">
        <v>500</v>
      </c>
      <c r="G15">
        <f>(Tabla3[[#This Row],[Año 1]]+Tabla3[[#This Row],[Año 2]])/2</f>
        <v>2000</v>
      </c>
      <c r="H15">
        <f>(Tabla3[[#This Row],[Año 1]]+Tabla3[[#This Row],[Año 3]])/2</f>
        <v>2000</v>
      </c>
      <c r="I15">
        <f>(Tabla3[[#This Row],[Año 1]]+Tabla3[[#This Row],[Año 4]])/2</f>
        <v>2000</v>
      </c>
      <c r="J15">
        <f>(Tabla3[[#This Row],[Año 1]]+Tabla3[[#This Row],[Año 5]])</f>
        <v>4500</v>
      </c>
      <c r="K15">
        <f>(Tabla3[[#This Row],[Año 2]]+Tabla3[[#This Row],[Año 3]])/2</f>
        <v>0</v>
      </c>
      <c r="L15">
        <f>(Tabla3[[#This Row],[Año 2]]+Tabla3[[#This Row],[Año 4]])/2</f>
        <v>0</v>
      </c>
      <c r="M15">
        <f>(Tabla3[[#This Row],[Año 2]]+Tabla3[[#This Row],[Año 5]])/2</f>
        <v>250</v>
      </c>
      <c r="N15">
        <f>(Tabla3[[#This Row],[Año 3]]+Tabla3[[#This Row],[Año 4]])</f>
        <v>0</v>
      </c>
      <c r="O15">
        <f>(Tabla3[[#This Row],[Año 3]]+Tabla3[[#This Row],[Año 5]])/2</f>
        <v>250</v>
      </c>
      <c r="P15">
        <f>(Tabla3[[#This Row],[Año 4]]+Tabla3[[#This Row],[Año 5]])/2</f>
        <v>250</v>
      </c>
      <c r="Q15">
        <f>SUM(B15:F15)/5</f>
        <v>900</v>
      </c>
      <c r="R15" s="9"/>
      <c r="S15" s="9"/>
      <c r="T15" s="9"/>
      <c r="U15" s="9"/>
    </row>
    <row r="16" spans="1:21">
      <c r="A16" s="2" t="s">
        <v>20</v>
      </c>
      <c r="B16" s="10">
        <f>SUBTOTAL(109,B4:B15)</f>
        <v>36000</v>
      </c>
      <c r="C16" s="10">
        <f>SUBTOTAL(109,C4:C15)</f>
        <v>0</v>
      </c>
      <c r="D16" s="10">
        <f>SUBTOTAL(109,D4:D15)</f>
        <v>0</v>
      </c>
      <c r="E16" s="10">
        <f>SUBTOTAL(109,E4:E15)</f>
        <v>0</v>
      </c>
      <c r="F16" s="10">
        <f>SUBTOTAL(109,F4:F15)</f>
        <v>65200</v>
      </c>
      <c r="G16">
        <f>(Tabla3[[#This Row],[Año 1]]+Tabla3[[#This Row],[Año 2]])/2</f>
        <v>18000</v>
      </c>
      <c r="H16">
        <f>(Tabla3[[#This Row],[Año 1]]+Tabla3[[#This Row],[Año 3]])/2</f>
        <v>18000</v>
      </c>
      <c r="I16">
        <f>(Tabla3[[#This Row],[Año 1]]+Tabla3[[#This Row],[Año 4]])/2</f>
        <v>18000</v>
      </c>
      <c r="J16">
        <f>(Tabla3[[#This Row],[Año 1]]+Tabla3[[#This Row],[Año 5]])</f>
        <v>101200</v>
      </c>
      <c r="K16">
        <f>(Tabla3[[#This Row],[Año 2]]+Tabla3[[#This Row],[Año 3]])/2</f>
        <v>0</v>
      </c>
      <c r="L16">
        <f>(Tabla3[[#This Row],[Año 2]]+Tabla3[[#This Row],[Año 4]])/2</f>
        <v>0</v>
      </c>
      <c r="M16">
        <f>(Tabla3[[#This Row],[Año 2]]+Tabla3[[#This Row],[Año 5]])/2</f>
        <v>32600</v>
      </c>
      <c r="N16">
        <f>(Tabla3[[#This Row],[Año 3]]+Tabla3[[#This Row],[Año 4]])</f>
        <v>0</v>
      </c>
      <c r="O16">
        <f>(Tabla3[[#This Row],[Año 3]]+Tabla3[[#This Row],[Año 5]])/2</f>
        <v>32600</v>
      </c>
      <c r="P16">
        <f>(Tabla3[[#This Row],[Año 4]]+Tabla3[[#This Row],[Año 5]])/2</f>
        <v>32600</v>
      </c>
      <c r="Q16">
        <f>SUM(Q4:Q15)/12</f>
        <v>1686.6666666666667</v>
      </c>
      <c r="R16" s="9"/>
      <c r="S16" s="9"/>
      <c r="T16" s="9"/>
      <c r="U16" s="9"/>
    </row>
    <row r="17" spans="7:17">
      <c r="I17" s="11"/>
      <c r="J17" s="11"/>
      <c r="K17" s="11"/>
      <c r="L17" s="11"/>
      <c r="M17" s="11"/>
      <c r="N17" s="11"/>
      <c r="O17" s="11"/>
      <c r="P17" s="11"/>
    </row>
    <row r="18" spans="7:17" ht="14.25" customHeight="1">
      <c r="G18" s="19" t="s">
        <v>46</v>
      </c>
      <c r="H18" s="19" t="s">
        <v>47</v>
      </c>
      <c r="I18" s="19" t="s">
        <v>48</v>
      </c>
      <c r="J18" s="19" t="s">
        <v>49</v>
      </c>
      <c r="K18" s="19" t="s">
        <v>50</v>
      </c>
      <c r="L18" s="19" t="s">
        <v>53</v>
      </c>
      <c r="M18" s="19" t="s">
        <v>54</v>
      </c>
      <c r="N18" s="19" t="s">
        <v>51</v>
      </c>
      <c r="O18" s="20" t="s">
        <v>52</v>
      </c>
      <c r="P18" s="20" t="s">
        <v>55</v>
      </c>
      <c r="Q18" s="19" t="s">
        <v>56</v>
      </c>
    </row>
    <row r="19" spans="7:17">
      <c r="G19">
        <f t="shared" ref="G19:H31" si="0">G4/G16</f>
        <v>2.7777777777777776E-2</v>
      </c>
      <c r="H19">
        <f t="shared" si="0"/>
        <v>2.7777777777777776E-2</v>
      </c>
      <c r="I19">
        <f t="shared" ref="I19:Q19" si="1">I4/I16</f>
        <v>2.7777777777777776E-2</v>
      </c>
      <c r="J19">
        <f t="shared" si="1"/>
        <v>1.9762845849802372E-2</v>
      </c>
      <c r="K19" t="e">
        <f t="shared" si="1"/>
        <v>#DIV/0!</v>
      </c>
      <c r="L19" t="e">
        <f t="shared" si="1"/>
        <v>#DIV/0!</v>
      </c>
      <c r="M19">
        <f t="shared" si="1"/>
        <v>1.5337423312883436E-2</v>
      </c>
      <c r="N19" t="e">
        <f t="shared" si="1"/>
        <v>#DIV/0!</v>
      </c>
      <c r="O19">
        <f t="shared" si="1"/>
        <v>1.5337423312883436E-2</v>
      </c>
      <c r="P19">
        <f t="shared" si="1"/>
        <v>1.5337423312883436E-2</v>
      </c>
      <c r="Q19">
        <f t="shared" si="1"/>
        <v>0.23715415019762845</v>
      </c>
    </row>
    <row r="20" spans="7:17">
      <c r="G20">
        <f>G5/G16</f>
        <v>5.5555555555555552E-2</v>
      </c>
      <c r="H20">
        <f>H5/H16</f>
        <v>5.5555555555555552E-2</v>
      </c>
      <c r="I20">
        <f t="shared" ref="I20:Q20" si="2">I5/I16</f>
        <v>5.5555555555555552E-2</v>
      </c>
      <c r="J20">
        <f t="shared" si="2"/>
        <v>0.21739130434782608</v>
      </c>
      <c r="K20" t="e">
        <f t="shared" si="2"/>
        <v>#DIV/0!</v>
      </c>
      <c r="L20" t="e">
        <f t="shared" si="2"/>
        <v>#DIV/0!</v>
      </c>
      <c r="M20">
        <f t="shared" si="2"/>
        <v>0.30674846625766872</v>
      </c>
      <c r="N20" t="e">
        <f t="shared" si="2"/>
        <v>#DIV/0!</v>
      </c>
      <c r="O20">
        <f t="shared" si="2"/>
        <v>0.30674846625766872</v>
      </c>
      <c r="P20">
        <f t="shared" si="2"/>
        <v>0.30674846625766872</v>
      </c>
      <c r="Q20">
        <f t="shared" si="2"/>
        <v>2.6086956521739131</v>
      </c>
    </row>
    <row r="21" spans="7:17">
      <c r="G21">
        <f>G6/G16</f>
        <v>8.3333333333333329E-2</v>
      </c>
      <c r="H21">
        <f>H6/H16</f>
        <v>8.3333333333333329E-2</v>
      </c>
      <c r="I21">
        <f t="shared" ref="I21:Q21" si="3">I6/I16</f>
        <v>8.3333333333333329E-2</v>
      </c>
      <c r="J21">
        <f t="shared" si="3"/>
        <v>0.32608695652173914</v>
      </c>
      <c r="K21" t="e">
        <f t="shared" si="3"/>
        <v>#DIV/0!</v>
      </c>
      <c r="L21" t="e">
        <f t="shared" si="3"/>
        <v>#DIV/0!</v>
      </c>
      <c r="M21">
        <f t="shared" si="3"/>
        <v>0.46012269938650308</v>
      </c>
      <c r="N21" t="e">
        <f t="shared" si="3"/>
        <v>#DIV/0!</v>
      </c>
      <c r="O21">
        <f t="shared" si="3"/>
        <v>0.46012269938650308</v>
      </c>
      <c r="P21">
        <f t="shared" si="3"/>
        <v>0.46012269938650308</v>
      </c>
      <c r="Q21">
        <f t="shared" si="3"/>
        <v>3.9130434782608692</v>
      </c>
    </row>
    <row r="22" spans="7:17">
      <c r="G22">
        <f>G7/G16</f>
        <v>2.7777777777777776E-2</v>
      </c>
      <c r="H22">
        <f>H7/H16</f>
        <v>2.7777777777777776E-2</v>
      </c>
      <c r="I22">
        <f t="shared" ref="I22:Q22" si="4">I7/I16</f>
        <v>2.7777777777777776E-2</v>
      </c>
      <c r="J22">
        <f t="shared" si="4"/>
        <v>1.9762845849802372E-2</v>
      </c>
      <c r="K22" t="e">
        <f t="shared" si="4"/>
        <v>#DIV/0!</v>
      </c>
      <c r="L22" t="e">
        <f t="shared" si="4"/>
        <v>#DIV/0!</v>
      </c>
      <c r="M22">
        <f t="shared" si="4"/>
        <v>1.5337423312883436E-2</v>
      </c>
      <c r="N22" t="e">
        <f t="shared" si="4"/>
        <v>#DIV/0!</v>
      </c>
      <c r="O22">
        <f t="shared" si="4"/>
        <v>1.5337423312883436E-2</v>
      </c>
      <c r="P22">
        <f t="shared" si="4"/>
        <v>1.5337423312883436E-2</v>
      </c>
      <c r="Q22">
        <f t="shared" si="4"/>
        <v>0.23715415019762845</v>
      </c>
    </row>
    <row r="23" spans="7:17">
      <c r="G23">
        <f>G8/G16</f>
        <v>5.5555555555555552E-2</v>
      </c>
      <c r="H23">
        <f>H8/H16</f>
        <v>5.5555555555555552E-2</v>
      </c>
      <c r="I23">
        <f t="shared" ref="I23:Q23" si="5">I8/I16</f>
        <v>5.5555555555555552E-2</v>
      </c>
      <c r="J23">
        <f t="shared" si="5"/>
        <v>2.9644268774703556E-2</v>
      </c>
      <c r="K23" t="e">
        <f t="shared" si="5"/>
        <v>#DIV/0!</v>
      </c>
      <c r="L23" t="e">
        <f t="shared" si="5"/>
        <v>#DIV/0!</v>
      </c>
      <c r="M23">
        <f t="shared" si="5"/>
        <v>1.5337423312883436E-2</v>
      </c>
      <c r="N23" t="e">
        <f t="shared" si="5"/>
        <v>#DIV/0!</v>
      </c>
      <c r="O23">
        <f t="shared" si="5"/>
        <v>1.5337423312883436E-2</v>
      </c>
      <c r="P23">
        <f t="shared" si="5"/>
        <v>1.5337423312883436E-2</v>
      </c>
      <c r="Q23">
        <f t="shared" si="5"/>
        <v>0.35573122529644269</v>
      </c>
    </row>
    <row r="24" spans="7:17">
      <c r="G24">
        <f>G9/G16</f>
        <v>8.3333333333333329E-2</v>
      </c>
      <c r="H24">
        <f>H9/H16</f>
        <v>8.3333333333333329E-2</v>
      </c>
      <c r="I24">
        <f t="shared" ref="I24:Q24" si="6">I9/I16</f>
        <v>8.3333333333333329E-2</v>
      </c>
      <c r="J24">
        <f t="shared" si="6"/>
        <v>3.9525691699604744E-2</v>
      </c>
      <c r="K24" t="e">
        <f t="shared" si="6"/>
        <v>#DIV/0!</v>
      </c>
      <c r="L24" t="e">
        <f t="shared" si="6"/>
        <v>#DIV/0!</v>
      </c>
      <c r="M24">
        <f t="shared" si="6"/>
        <v>1.5337423312883436E-2</v>
      </c>
      <c r="N24" t="e">
        <f t="shared" si="6"/>
        <v>#DIV/0!</v>
      </c>
      <c r="O24">
        <f t="shared" si="6"/>
        <v>1.5337423312883436E-2</v>
      </c>
      <c r="P24">
        <f t="shared" si="6"/>
        <v>1.5337423312883436E-2</v>
      </c>
      <c r="Q24">
        <f t="shared" si="6"/>
        <v>0.4743083003952569</v>
      </c>
    </row>
    <row r="25" spans="7:17">
      <c r="G25">
        <f>G10/G16</f>
        <v>0.1388888888888889</v>
      </c>
      <c r="H25">
        <f>H10/H16</f>
        <v>0.1388888888888889</v>
      </c>
      <c r="I25">
        <f t="shared" ref="I25:Q25" si="7">I10/I16</f>
        <v>0.1388888888888889</v>
      </c>
      <c r="J25">
        <f t="shared" si="7"/>
        <v>5.1383399209486168E-2</v>
      </c>
      <c r="K25" t="e">
        <f t="shared" si="7"/>
        <v>#DIV/0!</v>
      </c>
      <c r="L25" t="e">
        <f t="shared" si="7"/>
        <v>#DIV/0!</v>
      </c>
      <c r="M25">
        <f t="shared" si="7"/>
        <v>3.0674846625766872E-3</v>
      </c>
      <c r="N25" t="e">
        <f t="shared" si="7"/>
        <v>#DIV/0!</v>
      </c>
      <c r="O25">
        <f t="shared" si="7"/>
        <v>3.0674846625766872E-3</v>
      </c>
      <c r="P25">
        <f t="shared" si="7"/>
        <v>3.0674846625766872E-3</v>
      </c>
      <c r="Q25">
        <f t="shared" si="7"/>
        <v>0.61660079051383399</v>
      </c>
    </row>
    <row r="26" spans="7:17">
      <c r="G26">
        <f>G11/G16</f>
        <v>0.25</v>
      </c>
      <c r="H26">
        <f>H11/H16</f>
        <v>0.25</v>
      </c>
      <c r="I26">
        <f t="shared" ref="I26:Q26" si="8">I11/I16</f>
        <v>0.25</v>
      </c>
      <c r="J26">
        <f t="shared" si="8"/>
        <v>8.9920948616600785E-2</v>
      </c>
      <c r="K26" t="e">
        <f t="shared" si="8"/>
        <v>#DIV/0!</v>
      </c>
      <c r="L26" t="e">
        <f t="shared" si="8"/>
        <v>#DIV/0!</v>
      </c>
      <c r="M26">
        <f t="shared" si="8"/>
        <v>1.5337423312883436E-3</v>
      </c>
      <c r="N26" t="e">
        <f t="shared" si="8"/>
        <v>#DIV/0!</v>
      </c>
      <c r="O26">
        <f t="shared" si="8"/>
        <v>1.5337423312883436E-3</v>
      </c>
      <c r="P26">
        <f t="shared" si="8"/>
        <v>1.5337423312883436E-3</v>
      </c>
      <c r="Q26">
        <f t="shared" si="8"/>
        <v>1.0790513833992095</v>
      </c>
    </row>
    <row r="27" spans="7:17">
      <c r="G27">
        <f>G12/G16</f>
        <v>2.7777777777777776E-2</v>
      </c>
      <c r="H27">
        <f>H12/H16</f>
        <v>2.7777777777777776E-2</v>
      </c>
      <c r="I27">
        <f t="shared" ref="I27:Q27" si="9">I12/I16</f>
        <v>2.7777777777777776E-2</v>
      </c>
      <c r="J27">
        <f t="shared" si="9"/>
        <v>4.9407114624505928E-2</v>
      </c>
      <c r="K27" t="e">
        <f t="shared" si="9"/>
        <v>#DIV/0!</v>
      </c>
      <c r="L27" t="e">
        <f t="shared" si="9"/>
        <v>#DIV/0!</v>
      </c>
      <c r="M27">
        <f t="shared" si="9"/>
        <v>6.1349693251533742E-2</v>
      </c>
      <c r="N27" t="e">
        <f t="shared" si="9"/>
        <v>#DIV/0!</v>
      </c>
      <c r="O27">
        <f t="shared" si="9"/>
        <v>6.1349693251533742E-2</v>
      </c>
      <c r="P27">
        <f t="shared" si="9"/>
        <v>6.1349693251533742E-2</v>
      </c>
      <c r="Q27">
        <f t="shared" si="9"/>
        <v>0.59288537549407117</v>
      </c>
    </row>
    <row r="28" spans="7:17">
      <c r="G28">
        <f>G13/G16</f>
        <v>5.5555555555555552E-2</v>
      </c>
      <c r="H28">
        <f>H13/H16</f>
        <v>5.5555555555555552E-2</v>
      </c>
      <c r="I28">
        <f t="shared" ref="I28:Q28" si="10">I13/I16</f>
        <v>5.5555555555555552E-2</v>
      </c>
      <c r="J28">
        <f t="shared" si="10"/>
        <v>7.3122529644268769E-2</v>
      </c>
      <c r="K28" t="e">
        <f t="shared" si="10"/>
        <v>#DIV/0!</v>
      </c>
      <c r="L28" t="e">
        <f t="shared" si="10"/>
        <v>#DIV/0!</v>
      </c>
      <c r="M28">
        <f t="shared" si="10"/>
        <v>8.2822085889570546E-2</v>
      </c>
      <c r="N28" t="e">
        <f t="shared" si="10"/>
        <v>#DIV/0!</v>
      </c>
      <c r="O28">
        <f t="shared" si="10"/>
        <v>8.2822085889570546E-2</v>
      </c>
      <c r="P28">
        <f t="shared" si="10"/>
        <v>8.2822085889570546E-2</v>
      </c>
      <c r="Q28">
        <f t="shared" si="10"/>
        <v>0.87747035573122523</v>
      </c>
    </row>
    <row r="29" spans="7:17">
      <c r="G29">
        <f>G14/G16</f>
        <v>8.3333333333333329E-2</v>
      </c>
      <c r="H29">
        <f>H14/H16</f>
        <v>8.3333333333333329E-2</v>
      </c>
      <c r="I29">
        <f t="shared" ref="I29:Q29" si="11">I14/I16</f>
        <v>8.3333333333333329E-2</v>
      </c>
      <c r="J29">
        <f t="shared" si="11"/>
        <v>3.9525691699604744E-2</v>
      </c>
      <c r="K29" t="e">
        <f t="shared" si="11"/>
        <v>#DIV/0!</v>
      </c>
      <c r="L29" t="e">
        <f t="shared" si="11"/>
        <v>#DIV/0!</v>
      </c>
      <c r="M29">
        <f t="shared" si="11"/>
        <v>1.5337423312883436E-2</v>
      </c>
      <c r="N29" t="e">
        <f t="shared" si="11"/>
        <v>#DIV/0!</v>
      </c>
      <c r="O29">
        <f t="shared" si="11"/>
        <v>1.5337423312883436E-2</v>
      </c>
      <c r="P29">
        <f t="shared" si="11"/>
        <v>1.5337423312883436E-2</v>
      </c>
      <c r="Q29">
        <f t="shared" si="11"/>
        <v>0.4743083003952569</v>
      </c>
    </row>
    <row r="30" spans="7:17">
      <c r="G30">
        <f>G15/G16</f>
        <v>0.1111111111111111</v>
      </c>
      <c r="H30">
        <f>H15/H16</f>
        <v>0.1111111111111111</v>
      </c>
      <c r="I30">
        <f t="shared" ref="I30:Q30" si="12">I15/I16</f>
        <v>0.1111111111111111</v>
      </c>
      <c r="J30">
        <f t="shared" si="12"/>
        <v>4.4466403162055336E-2</v>
      </c>
      <c r="K30" t="e">
        <f t="shared" si="12"/>
        <v>#DIV/0!</v>
      </c>
      <c r="L30" t="e">
        <f t="shared" si="12"/>
        <v>#DIV/0!</v>
      </c>
      <c r="M30">
        <f t="shared" si="12"/>
        <v>7.6687116564417178E-3</v>
      </c>
      <c r="N30" t="e">
        <f t="shared" si="12"/>
        <v>#DIV/0!</v>
      </c>
      <c r="O30">
        <f t="shared" si="12"/>
        <v>7.6687116564417178E-3</v>
      </c>
      <c r="P30">
        <f t="shared" si="12"/>
        <v>7.6687116564417178E-3</v>
      </c>
      <c r="Q30">
        <f t="shared" si="12"/>
        <v>0.53359683794466406</v>
      </c>
    </row>
    <row r="32" spans="7:17">
      <c r="I32" s="5" t="str">
        <f>IF(N50&gt;=2, "Se puede realizar el cálculo", "Se necesitan 2 o mas periodos para realizar el cálculo")</f>
        <v>Se puede realizar el cálculo</v>
      </c>
      <c r="J32" s="5"/>
      <c r="K32" s="5"/>
      <c r="L32" s="5"/>
      <c r="M32" s="5"/>
      <c r="N32" s="5"/>
      <c r="O32" s="5"/>
    </row>
    <row r="33" spans="9:15">
      <c r="I33" s="5"/>
      <c r="J33" s="5"/>
      <c r="K33" s="5"/>
      <c r="L33" s="5"/>
      <c r="M33" s="5"/>
      <c r="N33" s="5"/>
      <c r="O33" s="5"/>
    </row>
    <row r="34" spans="9:15">
      <c r="I34" s="5"/>
      <c r="J34" s="5"/>
      <c r="K34" s="5"/>
      <c r="L34" s="5"/>
      <c r="M34" s="5"/>
      <c r="N34" s="5"/>
      <c r="O34" s="5"/>
    </row>
    <row r="41" spans="9:15">
      <c r="J41" s="4"/>
      <c r="K41" s="4"/>
      <c r="L41" s="4"/>
      <c r="M41" s="4"/>
      <c r="N41" s="4"/>
      <c r="O41" s="4"/>
    </row>
    <row r="42" spans="9:15">
      <c r="J42" s="4"/>
      <c r="K42" s="4"/>
      <c r="L42" s="4"/>
      <c r="M42" s="4"/>
      <c r="N42" s="4"/>
      <c r="O42" s="4"/>
    </row>
    <row r="43" spans="9:15">
      <c r="J43" s="4"/>
      <c r="K43" s="4"/>
      <c r="L43" s="4"/>
      <c r="M43" s="4"/>
      <c r="N43" s="4"/>
      <c r="O43" s="4"/>
    </row>
    <row r="44" spans="9:15">
      <c r="J44" s="21"/>
      <c r="K44" s="21"/>
      <c r="L44" s="21"/>
      <c r="M44" s="21"/>
      <c r="N44" s="21"/>
      <c r="O44" s="21"/>
    </row>
    <row r="45" spans="9:15">
      <c r="J45" s="4"/>
      <c r="K45" s="16" t="s">
        <v>3</v>
      </c>
      <c r="L45" s="16" t="s">
        <v>21</v>
      </c>
      <c r="M45" s="4"/>
      <c r="N45" s="4">
        <f>IF((SUBTOTAL(109,B4:B15))&gt;0, 1, 0)</f>
        <v>1</v>
      </c>
      <c r="O45" s="4"/>
    </row>
    <row r="46" spans="9:15">
      <c r="J46" s="4"/>
      <c r="K46" s="4"/>
      <c r="L46" s="4">
        <f>Q4/Q16</f>
        <v>0.23715415019762845</v>
      </c>
      <c r="M46" s="4">
        <v>1</v>
      </c>
      <c r="N46" s="4">
        <f>IF((SUBTOTAL(109,C4:C15))&gt;0, 1, 0)</f>
        <v>0</v>
      </c>
      <c r="O46" s="4"/>
    </row>
    <row r="47" spans="9:15">
      <c r="J47" s="4"/>
      <c r="K47" s="4"/>
      <c r="L47" s="4">
        <f>Q5/Q16</f>
        <v>2.6086956521739131</v>
      </c>
      <c r="M47" s="4">
        <v>2</v>
      </c>
      <c r="N47" s="4">
        <f>IF((SUBTOTAL(109,D4:D15))&gt;0, 1, 0)</f>
        <v>0</v>
      </c>
      <c r="O47" s="4"/>
    </row>
    <row r="48" spans="9:15">
      <c r="J48" s="4"/>
      <c r="K48" s="4"/>
      <c r="L48" s="4">
        <f>Q6/Q16</f>
        <v>3.9130434782608692</v>
      </c>
      <c r="M48" s="4">
        <v>3</v>
      </c>
      <c r="N48" s="4">
        <f>IF((SUBTOTAL(109,E4:E15))&gt;0, 1, 0)</f>
        <v>0</v>
      </c>
      <c r="O48" s="4"/>
    </row>
    <row r="49" spans="10:15">
      <c r="J49" s="4"/>
      <c r="K49" s="4"/>
      <c r="L49" s="4">
        <f>Q7/Q16</f>
        <v>0.23715415019762845</v>
      </c>
      <c r="M49" s="4">
        <v>4</v>
      </c>
      <c r="N49" s="4">
        <f>IF((SUBTOTAL(109,F4:F15))&gt;0, 1, 0)</f>
        <v>1</v>
      </c>
      <c r="O49" s="4"/>
    </row>
    <row r="50" spans="10:15">
      <c r="J50" s="4"/>
      <c r="K50" s="4"/>
      <c r="L50" s="4">
        <f>Q8/Q16</f>
        <v>0.35573122529644269</v>
      </c>
      <c r="M50" s="4">
        <v>5</v>
      </c>
      <c r="N50" s="4">
        <f>SUM(N45:N49)</f>
        <v>2</v>
      </c>
      <c r="O50" s="4"/>
    </row>
    <row r="51" spans="10:15">
      <c r="J51" s="4"/>
      <c r="K51" s="4"/>
      <c r="L51" s="4">
        <f>Q9/Q16</f>
        <v>0.4743083003952569</v>
      </c>
      <c r="M51" s="4">
        <v>6</v>
      </c>
      <c r="N51" s="4"/>
      <c r="O51" s="4"/>
    </row>
    <row r="52" spans="10:15">
      <c r="J52" s="4"/>
      <c r="K52" s="4"/>
      <c r="L52" s="4">
        <f>Q10/Q16</f>
        <v>0.61660079051383399</v>
      </c>
      <c r="M52" s="4">
        <v>7</v>
      </c>
      <c r="N52" s="4"/>
      <c r="O52" s="4"/>
    </row>
    <row r="53" spans="10:15">
      <c r="J53" s="4"/>
      <c r="K53" s="4"/>
      <c r="L53" s="4">
        <f>Q11/Q16</f>
        <v>1.0790513833992095</v>
      </c>
      <c r="M53" s="4">
        <v>8</v>
      </c>
      <c r="N53" s="4"/>
      <c r="O53" s="4"/>
    </row>
    <row r="54" spans="10:15">
      <c r="J54" s="4"/>
      <c r="K54" s="4"/>
      <c r="L54" s="4">
        <f>Q12/Q16</f>
        <v>0.59288537549407117</v>
      </c>
      <c r="M54" s="4">
        <v>9</v>
      </c>
      <c r="N54" s="4"/>
      <c r="O54" s="4"/>
    </row>
    <row r="55" spans="10:15">
      <c r="J55" s="4"/>
      <c r="K55" s="4"/>
      <c r="L55" s="4">
        <f>Q13/Q16</f>
        <v>0.87747035573122523</v>
      </c>
      <c r="M55" s="4">
        <v>10</v>
      </c>
      <c r="N55" s="4"/>
      <c r="O55" s="4"/>
    </row>
    <row r="56" spans="10:15">
      <c r="J56" s="4"/>
      <c r="K56" s="4"/>
      <c r="L56" s="4">
        <f>Q14/Q16</f>
        <v>0.4743083003952569</v>
      </c>
      <c r="M56" s="4">
        <v>11</v>
      </c>
      <c r="N56" s="4"/>
      <c r="O56" s="4"/>
    </row>
    <row r="57" spans="10:15">
      <c r="J57" s="4"/>
      <c r="K57" s="4"/>
      <c r="L57" s="4">
        <f>Q15/Q16</f>
        <v>0.53359683794466406</v>
      </c>
      <c r="M57" s="4">
        <v>12</v>
      </c>
      <c r="N57" s="4"/>
      <c r="O57" s="4"/>
    </row>
    <row r="58" spans="10:15">
      <c r="J58" s="4"/>
      <c r="K58" s="4"/>
      <c r="L58" s="4"/>
      <c r="M58" s="4"/>
      <c r="N58" s="4"/>
      <c r="O58" s="4"/>
    </row>
    <row r="59" spans="10:15">
      <c r="J59" s="4"/>
      <c r="K59" s="4"/>
      <c r="L59" s="4"/>
      <c r="M59" s="4"/>
      <c r="N59" s="4"/>
      <c r="O59" s="4"/>
    </row>
    <row r="60" spans="10:15">
      <c r="J60" s="4"/>
      <c r="K60" s="4"/>
      <c r="L60" s="4"/>
      <c r="M60" s="4"/>
      <c r="N60" s="4"/>
      <c r="O60" s="4"/>
    </row>
    <row r="61" spans="10:15">
      <c r="J61" s="4"/>
      <c r="K61" s="4"/>
      <c r="L61" s="4"/>
      <c r="M61" s="4"/>
      <c r="N61" s="4"/>
      <c r="O61" s="4"/>
    </row>
    <row r="62" spans="10:15">
      <c r="J62" s="4"/>
      <c r="K62" s="4"/>
      <c r="L62" s="4"/>
      <c r="M62" s="4"/>
      <c r="N62" s="4"/>
      <c r="O62" s="4"/>
    </row>
    <row r="63" spans="10:15">
      <c r="J63" s="4"/>
      <c r="K63" s="4"/>
      <c r="L63" s="4"/>
      <c r="M63" s="4"/>
      <c r="N63" s="4"/>
      <c r="O63" s="4"/>
    </row>
    <row r="64" spans="10:15">
      <c r="J64" s="4"/>
      <c r="K64" s="4"/>
      <c r="L64" s="4"/>
      <c r="M64" s="4"/>
      <c r="N64" s="4"/>
      <c r="O64" s="4"/>
    </row>
  </sheetData>
  <mergeCells count="2">
    <mergeCell ref="I32:O34"/>
    <mergeCell ref="A1:Q2"/>
  </mergeCells>
  <pageMargins left="0.7" right="0.7" top="0.75" bottom="0.75" header="0.3" footer="0.3"/>
  <pageSetup orientation="portrait" horizontalDpi="4294967292" verticalDpi="0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87"/>
  <sheetViews>
    <sheetView showRuler="0" topLeftCell="A54" zoomScaleNormal="100" workbookViewId="0">
      <selection activeCell="I74" sqref="I74"/>
    </sheetView>
  </sheetViews>
  <sheetFormatPr baseColWidth="10" defaultRowHeight="15"/>
  <cols>
    <col min="2" max="2" width="11.85546875" bestFit="1" customWidth="1"/>
    <col min="3" max="3" width="18.42578125" customWidth="1"/>
    <col min="5" max="5" width="11.85546875" bestFit="1" customWidth="1"/>
    <col min="8" max="8" width="9.140625" customWidth="1"/>
    <col min="9" max="9" width="14.7109375" customWidth="1"/>
  </cols>
  <sheetData>
    <row r="1" spans="1:17" ht="15" customHeight="1">
      <c r="A1" s="8" t="s">
        <v>0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</row>
    <row r="2" spans="1:17" ht="15" customHeight="1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</row>
    <row r="3" spans="1:17">
      <c r="K3" s="9"/>
      <c r="L3" s="9"/>
      <c r="M3" s="9"/>
      <c r="N3" s="9"/>
    </row>
    <row r="4" spans="1:17" ht="18.75">
      <c r="A4" s="23" t="s">
        <v>57</v>
      </c>
      <c r="B4" s="23"/>
      <c r="C4" s="23"/>
      <c r="D4" s="23"/>
      <c r="E4" s="23"/>
      <c r="G4" s="23" t="s">
        <v>58</v>
      </c>
      <c r="H4" s="23"/>
      <c r="I4" s="23"/>
      <c r="J4" s="23"/>
      <c r="K4" s="23"/>
      <c r="L4" s="9"/>
      <c r="M4" s="23" t="s">
        <v>59</v>
      </c>
      <c r="N4" s="23"/>
      <c r="O4" s="23"/>
      <c r="P4" s="23"/>
      <c r="Q4" s="23"/>
    </row>
    <row r="5" spans="1:17" ht="17.25">
      <c r="A5" t="s">
        <v>1</v>
      </c>
      <c r="B5" t="s">
        <v>2</v>
      </c>
      <c r="C5" t="s">
        <v>3</v>
      </c>
      <c r="D5" t="s">
        <v>4</v>
      </c>
      <c r="E5" s="3" t="s">
        <v>23</v>
      </c>
      <c r="G5" t="s">
        <v>1</v>
      </c>
      <c r="H5" t="s">
        <v>2</v>
      </c>
      <c r="I5" t="s">
        <v>3</v>
      </c>
      <c r="J5" t="s">
        <v>4</v>
      </c>
      <c r="K5" s="3" t="s">
        <v>23</v>
      </c>
      <c r="L5" s="9"/>
      <c r="M5" t="s">
        <v>1</v>
      </c>
      <c r="N5" t="s">
        <v>2</v>
      </c>
      <c r="O5" t="s">
        <v>3</v>
      </c>
      <c r="P5" t="s">
        <v>4</v>
      </c>
      <c r="Q5" s="3" t="s">
        <v>23</v>
      </c>
    </row>
    <row r="6" spans="1:17">
      <c r="A6" t="s">
        <v>5</v>
      </c>
      <c r="B6">
        <v>1</v>
      </c>
      <c r="C6">
        <f>Datos!G4</f>
        <v>500</v>
      </c>
      <c r="D6">
        <f>B6*C6</f>
        <v>500</v>
      </c>
      <c r="E6">
        <f t="shared" ref="E6:E18" si="0">(B6)^2</f>
        <v>1</v>
      </c>
      <c r="G6" t="s">
        <v>5</v>
      </c>
      <c r="H6">
        <v>1</v>
      </c>
      <c r="I6">
        <f>Datos!H4</f>
        <v>500</v>
      </c>
      <c r="J6">
        <f>H6*I6</f>
        <v>500</v>
      </c>
      <c r="K6">
        <f t="shared" ref="K6:K18" si="1">(H6)^2</f>
        <v>1</v>
      </c>
      <c r="L6" s="9"/>
      <c r="M6" t="s">
        <v>5</v>
      </c>
      <c r="N6">
        <v>1</v>
      </c>
      <c r="O6">
        <f>Datos!I4</f>
        <v>500</v>
      </c>
      <c r="P6">
        <f>N6*O6</f>
        <v>500</v>
      </c>
      <c r="Q6">
        <f t="shared" ref="Q6:Q18" si="2">(N6)^2</f>
        <v>1</v>
      </c>
    </row>
    <row r="7" spans="1:17">
      <c r="A7" t="s">
        <v>6</v>
      </c>
      <c r="B7">
        <v>2</v>
      </c>
      <c r="C7">
        <f>Datos!G5</f>
        <v>1000</v>
      </c>
      <c r="D7">
        <f t="shared" ref="D7:D17" si="3">B7*C7</f>
        <v>2000</v>
      </c>
      <c r="E7">
        <f t="shared" si="0"/>
        <v>4</v>
      </c>
      <c r="G7" t="s">
        <v>6</v>
      </c>
      <c r="H7">
        <v>2</v>
      </c>
      <c r="I7">
        <f>Datos!H5</f>
        <v>1000</v>
      </c>
      <c r="J7">
        <f t="shared" ref="J7:J17" si="4">H7*I7</f>
        <v>2000</v>
      </c>
      <c r="K7">
        <f t="shared" si="1"/>
        <v>4</v>
      </c>
      <c r="L7" s="9"/>
      <c r="M7" t="s">
        <v>6</v>
      </c>
      <c r="N7">
        <v>2</v>
      </c>
      <c r="O7">
        <f>Datos!I5</f>
        <v>1000</v>
      </c>
      <c r="P7">
        <f t="shared" ref="P7:P17" si="5">N7*O7</f>
        <v>2000</v>
      </c>
      <c r="Q7">
        <f t="shared" si="2"/>
        <v>4</v>
      </c>
    </row>
    <row r="8" spans="1:17">
      <c r="A8" t="s">
        <v>7</v>
      </c>
      <c r="B8">
        <v>3</v>
      </c>
      <c r="C8">
        <f>Datos!G6</f>
        <v>1500</v>
      </c>
      <c r="D8">
        <f t="shared" si="3"/>
        <v>4500</v>
      </c>
      <c r="E8">
        <f t="shared" si="0"/>
        <v>9</v>
      </c>
      <c r="G8" t="s">
        <v>7</v>
      </c>
      <c r="H8">
        <v>3</v>
      </c>
      <c r="I8">
        <f>Datos!H6</f>
        <v>1500</v>
      </c>
      <c r="J8">
        <f t="shared" si="4"/>
        <v>4500</v>
      </c>
      <c r="K8">
        <f t="shared" si="1"/>
        <v>9</v>
      </c>
      <c r="L8" s="9"/>
      <c r="M8" t="s">
        <v>7</v>
      </c>
      <c r="N8">
        <v>3</v>
      </c>
      <c r="O8">
        <f>Datos!I6</f>
        <v>1500</v>
      </c>
      <c r="P8">
        <f t="shared" si="5"/>
        <v>4500</v>
      </c>
      <c r="Q8">
        <f t="shared" si="2"/>
        <v>9</v>
      </c>
    </row>
    <row r="9" spans="1:17">
      <c r="A9" t="s">
        <v>8</v>
      </c>
      <c r="B9">
        <v>4</v>
      </c>
      <c r="C9">
        <f>Datos!G7</f>
        <v>500</v>
      </c>
      <c r="D9">
        <f t="shared" si="3"/>
        <v>2000</v>
      </c>
      <c r="E9">
        <f t="shared" si="0"/>
        <v>16</v>
      </c>
      <c r="G9" t="s">
        <v>8</v>
      </c>
      <c r="H9">
        <v>4</v>
      </c>
      <c r="I9">
        <f>Datos!H7</f>
        <v>500</v>
      </c>
      <c r="J9">
        <f t="shared" si="4"/>
        <v>2000</v>
      </c>
      <c r="K9">
        <f t="shared" si="1"/>
        <v>16</v>
      </c>
      <c r="L9" s="9"/>
      <c r="M9" t="s">
        <v>8</v>
      </c>
      <c r="N9">
        <v>4</v>
      </c>
      <c r="O9">
        <f>Datos!I7</f>
        <v>500</v>
      </c>
      <c r="P9">
        <f t="shared" si="5"/>
        <v>2000</v>
      </c>
      <c r="Q9">
        <f t="shared" si="2"/>
        <v>16</v>
      </c>
    </row>
    <row r="10" spans="1:17">
      <c r="A10" t="s">
        <v>9</v>
      </c>
      <c r="B10">
        <v>5</v>
      </c>
      <c r="C10">
        <f>Datos!G8</f>
        <v>1000</v>
      </c>
      <c r="D10">
        <f t="shared" si="3"/>
        <v>5000</v>
      </c>
      <c r="E10">
        <f t="shared" si="0"/>
        <v>25</v>
      </c>
      <c r="G10" t="s">
        <v>9</v>
      </c>
      <c r="H10">
        <v>5</v>
      </c>
      <c r="I10">
        <f>Datos!H8</f>
        <v>1000</v>
      </c>
      <c r="J10">
        <f t="shared" si="4"/>
        <v>5000</v>
      </c>
      <c r="K10">
        <f t="shared" si="1"/>
        <v>25</v>
      </c>
      <c r="L10" s="9"/>
      <c r="M10" t="s">
        <v>9</v>
      </c>
      <c r="N10">
        <v>5</v>
      </c>
      <c r="O10">
        <f>Datos!I8</f>
        <v>1000</v>
      </c>
      <c r="P10">
        <f t="shared" si="5"/>
        <v>5000</v>
      </c>
      <c r="Q10">
        <f t="shared" si="2"/>
        <v>25</v>
      </c>
    </row>
    <row r="11" spans="1:17">
      <c r="A11" t="s">
        <v>10</v>
      </c>
      <c r="B11">
        <v>6</v>
      </c>
      <c r="C11">
        <f>Datos!G9</f>
        <v>1500</v>
      </c>
      <c r="D11">
        <f t="shared" si="3"/>
        <v>9000</v>
      </c>
      <c r="E11">
        <f t="shared" si="0"/>
        <v>36</v>
      </c>
      <c r="G11" t="s">
        <v>10</v>
      </c>
      <c r="H11">
        <v>6</v>
      </c>
      <c r="I11">
        <f>Datos!H9</f>
        <v>1500</v>
      </c>
      <c r="J11">
        <f t="shared" si="4"/>
        <v>9000</v>
      </c>
      <c r="K11">
        <f t="shared" si="1"/>
        <v>36</v>
      </c>
      <c r="L11" s="9"/>
      <c r="M11" t="s">
        <v>10</v>
      </c>
      <c r="N11">
        <v>6</v>
      </c>
      <c r="O11">
        <f>Datos!I9</f>
        <v>1500</v>
      </c>
      <c r="P11">
        <f t="shared" si="5"/>
        <v>9000</v>
      </c>
      <c r="Q11">
        <f t="shared" si="2"/>
        <v>36</v>
      </c>
    </row>
    <row r="12" spans="1:17">
      <c r="A12" t="s">
        <v>11</v>
      </c>
      <c r="B12">
        <v>7</v>
      </c>
      <c r="C12">
        <f>Datos!G10</f>
        <v>2500</v>
      </c>
      <c r="D12">
        <f t="shared" si="3"/>
        <v>17500</v>
      </c>
      <c r="E12">
        <f t="shared" si="0"/>
        <v>49</v>
      </c>
      <c r="G12" t="s">
        <v>11</v>
      </c>
      <c r="H12">
        <v>7</v>
      </c>
      <c r="I12">
        <f>Datos!H10</f>
        <v>2500</v>
      </c>
      <c r="J12">
        <f t="shared" si="4"/>
        <v>17500</v>
      </c>
      <c r="K12">
        <f t="shared" si="1"/>
        <v>49</v>
      </c>
      <c r="L12" s="9"/>
      <c r="M12" t="s">
        <v>11</v>
      </c>
      <c r="N12">
        <v>7</v>
      </c>
      <c r="O12">
        <f>Datos!I10</f>
        <v>2500</v>
      </c>
      <c r="P12">
        <f t="shared" si="5"/>
        <v>17500</v>
      </c>
      <c r="Q12">
        <f t="shared" si="2"/>
        <v>49</v>
      </c>
    </row>
    <row r="13" spans="1:17">
      <c r="A13" t="s">
        <v>12</v>
      </c>
      <c r="B13">
        <v>8</v>
      </c>
      <c r="C13">
        <f>Datos!G11</f>
        <v>4500</v>
      </c>
      <c r="D13">
        <f t="shared" si="3"/>
        <v>36000</v>
      </c>
      <c r="E13">
        <f t="shared" si="0"/>
        <v>64</v>
      </c>
      <c r="G13" t="s">
        <v>12</v>
      </c>
      <c r="H13">
        <v>8</v>
      </c>
      <c r="I13">
        <f>Datos!H11</f>
        <v>4500</v>
      </c>
      <c r="J13">
        <f t="shared" si="4"/>
        <v>36000</v>
      </c>
      <c r="K13">
        <f t="shared" si="1"/>
        <v>64</v>
      </c>
      <c r="L13" s="9"/>
      <c r="M13" t="s">
        <v>12</v>
      </c>
      <c r="N13">
        <v>8</v>
      </c>
      <c r="O13">
        <f>Datos!I11</f>
        <v>4500</v>
      </c>
      <c r="P13">
        <f t="shared" si="5"/>
        <v>36000</v>
      </c>
      <c r="Q13">
        <f t="shared" si="2"/>
        <v>64</v>
      </c>
    </row>
    <row r="14" spans="1:17">
      <c r="A14" t="s">
        <v>13</v>
      </c>
      <c r="B14">
        <v>9</v>
      </c>
      <c r="C14">
        <f>Datos!G12</f>
        <v>500</v>
      </c>
      <c r="D14">
        <f t="shared" si="3"/>
        <v>4500</v>
      </c>
      <c r="E14">
        <f t="shared" si="0"/>
        <v>81</v>
      </c>
      <c r="G14" t="s">
        <v>13</v>
      </c>
      <c r="H14">
        <v>9</v>
      </c>
      <c r="I14">
        <f>Datos!H12</f>
        <v>500</v>
      </c>
      <c r="J14">
        <f t="shared" si="4"/>
        <v>4500</v>
      </c>
      <c r="K14">
        <f t="shared" si="1"/>
        <v>81</v>
      </c>
      <c r="L14" s="9"/>
      <c r="M14" t="s">
        <v>13</v>
      </c>
      <c r="N14">
        <v>9</v>
      </c>
      <c r="O14">
        <f>Datos!I12</f>
        <v>500</v>
      </c>
      <c r="P14">
        <f t="shared" si="5"/>
        <v>4500</v>
      </c>
      <c r="Q14">
        <f t="shared" si="2"/>
        <v>81</v>
      </c>
    </row>
    <row r="15" spans="1:17">
      <c r="A15" t="s">
        <v>14</v>
      </c>
      <c r="B15">
        <v>10</v>
      </c>
      <c r="C15">
        <f>Datos!G13</f>
        <v>1000</v>
      </c>
      <c r="D15">
        <f t="shared" si="3"/>
        <v>10000</v>
      </c>
      <c r="E15">
        <f t="shared" si="0"/>
        <v>100</v>
      </c>
      <c r="G15" t="s">
        <v>14</v>
      </c>
      <c r="H15">
        <v>10</v>
      </c>
      <c r="I15">
        <f>Datos!H13</f>
        <v>1000</v>
      </c>
      <c r="J15">
        <f t="shared" si="4"/>
        <v>10000</v>
      </c>
      <c r="K15">
        <f t="shared" si="1"/>
        <v>100</v>
      </c>
      <c r="L15" s="9"/>
      <c r="M15" t="s">
        <v>14</v>
      </c>
      <c r="N15">
        <v>10</v>
      </c>
      <c r="O15">
        <f>Datos!I13</f>
        <v>1000</v>
      </c>
      <c r="P15">
        <f t="shared" si="5"/>
        <v>10000</v>
      </c>
      <c r="Q15">
        <f t="shared" si="2"/>
        <v>100</v>
      </c>
    </row>
    <row r="16" spans="1:17">
      <c r="A16" t="s">
        <v>15</v>
      </c>
      <c r="B16">
        <v>11</v>
      </c>
      <c r="C16">
        <f>Datos!G14</f>
        <v>1500</v>
      </c>
      <c r="D16">
        <f t="shared" si="3"/>
        <v>16500</v>
      </c>
      <c r="E16">
        <f t="shared" si="0"/>
        <v>121</v>
      </c>
      <c r="G16" t="s">
        <v>15</v>
      </c>
      <c r="H16">
        <v>11</v>
      </c>
      <c r="I16">
        <f>Datos!H14</f>
        <v>1500</v>
      </c>
      <c r="J16">
        <f t="shared" si="4"/>
        <v>16500</v>
      </c>
      <c r="K16">
        <f t="shared" si="1"/>
        <v>121</v>
      </c>
      <c r="L16" s="9"/>
      <c r="M16" t="s">
        <v>15</v>
      </c>
      <c r="N16">
        <v>11</v>
      </c>
      <c r="O16">
        <f>Datos!I14</f>
        <v>1500</v>
      </c>
      <c r="P16">
        <f t="shared" si="5"/>
        <v>16500</v>
      </c>
      <c r="Q16">
        <f t="shared" si="2"/>
        <v>121</v>
      </c>
    </row>
    <row r="17" spans="1:17">
      <c r="A17" t="s">
        <v>16</v>
      </c>
      <c r="B17">
        <v>12</v>
      </c>
      <c r="C17">
        <f>Datos!G15</f>
        <v>2000</v>
      </c>
      <c r="D17">
        <f t="shared" si="3"/>
        <v>24000</v>
      </c>
      <c r="E17">
        <f t="shared" si="0"/>
        <v>144</v>
      </c>
      <c r="G17" t="s">
        <v>16</v>
      </c>
      <c r="H17">
        <v>12</v>
      </c>
      <c r="I17">
        <f>Datos!H15</f>
        <v>2000</v>
      </c>
      <c r="J17">
        <f t="shared" si="4"/>
        <v>24000</v>
      </c>
      <c r="K17">
        <f t="shared" si="1"/>
        <v>144</v>
      </c>
      <c r="L17" s="9"/>
      <c r="M17" t="s">
        <v>16</v>
      </c>
      <c r="N17">
        <v>12</v>
      </c>
      <c r="O17">
        <f>Datos!I15</f>
        <v>2000</v>
      </c>
      <c r="P17">
        <f t="shared" si="5"/>
        <v>24000</v>
      </c>
      <c r="Q17">
        <f t="shared" si="2"/>
        <v>144</v>
      </c>
    </row>
    <row r="18" spans="1:17">
      <c r="A18" t="s">
        <v>22</v>
      </c>
      <c r="B18">
        <f>SUM(B6:B17)</f>
        <v>78</v>
      </c>
      <c r="C18">
        <f>SUBTOTAL(109,C6:C17)</f>
        <v>18000</v>
      </c>
      <c r="D18">
        <f t="shared" ref="C18:D18" si="6">SUM(D6:D17)</f>
        <v>131500</v>
      </c>
      <c r="E18">
        <f t="shared" si="0"/>
        <v>6084</v>
      </c>
      <c r="G18" t="s">
        <v>22</v>
      </c>
      <c r="H18">
        <f>SUM(H6:H17)</f>
        <v>78</v>
      </c>
      <c r="I18">
        <f>SUBTOTAL(109,I6:I17)</f>
        <v>18000</v>
      </c>
      <c r="J18">
        <f t="shared" ref="J18:K18" si="7">SUM(J6:J17)</f>
        <v>131500</v>
      </c>
      <c r="K18">
        <f t="shared" si="1"/>
        <v>6084</v>
      </c>
      <c r="L18" s="9"/>
      <c r="M18" t="s">
        <v>22</v>
      </c>
      <c r="N18">
        <f>SUM(N6:N17)</f>
        <v>78</v>
      </c>
      <c r="O18">
        <f>SUBTOTAL(109,O6:O17)</f>
        <v>18000</v>
      </c>
      <c r="P18">
        <f t="shared" ref="P18:Q18" si="8">SUM(P6:P17)</f>
        <v>131500</v>
      </c>
      <c r="Q18">
        <f t="shared" si="2"/>
        <v>6084</v>
      </c>
    </row>
    <row r="19" spans="1:17">
      <c r="A19">
        <f>(C18-(Tabla411[[#Totals],[Periodo]]*B18))/B17</f>
        <v>1483.100233100233</v>
      </c>
      <c r="B19" s="9">
        <f>((B17*D18)-(B18*C18))/((B17*E18)-(B18^2))</f>
        <v>2.5999641384256771</v>
      </c>
      <c r="E19" s="18"/>
      <c r="G19">
        <f>(I18-(Tabla411[[#Totals],[Periodo]]*H18))/H17</f>
        <v>1483.100233100233</v>
      </c>
      <c r="H19" s="9">
        <f>((H17*J18)-(H18*I18))/((H17*K18)-(H18^2))</f>
        <v>2.5999641384256771</v>
      </c>
      <c r="K19" s="18"/>
      <c r="M19">
        <f>(O18-(Tabla411[[#Totals],[Periodo]]*N18))/N17</f>
        <v>1483.100233100233</v>
      </c>
      <c r="N19" s="9">
        <f>((N17*P18)-(N18*O18))/((N17*Q18)-(N18^2))</f>
        <v>2.5999641384256771</v>
      </c>
      <c r="Q19" s="18"/>
    </row>
    <row r="20" spans="1:17" ht="18.75">
      <c r="A20" s="23" t="s">
        <v>60</v>
      </c>
      <c r="B20" s="23"/>
      <c r="C20" s="23"/>
      <c r="D20" s="23"/>
      <c r="E20" s="23"/>
      <c r="G20" s="23" t="s">
        <v>61</v>
      </c>
      <c r="H20" s="23"/>
      <c r="I20" s="23"/>
      <c r="J20" s="23"/>
      <c r="K20" s="23"/>
      <c r="M20" s="23" t="s">
        <v>62</v>
      </c>
      <c r="N20" s="23"/>
      <c r="O20" s="23"/>
      <c r="P20" s="23"/>
      <c r="Q20" s="23"/>
    </row>
    <row r="21" spans="1:17" ht="17.25">
      <c r="A21" t="s">
        <v>1</v>
      </c>
      <c r="B21" t="s">
        <v>2</v>
      </c>
      <c r="C21" t="s">
        <v>3</v>
      </c>
      <c r="D21" t="s">
        <v>4</v>
      </c>
      <c r="E21" s="3" t="s">
        <v>23</v>
      </c>
      <c r="G21" t="s">
        <v>1</v>
      </c>
      <c r="H21" t="s">
        <v>2</v>
      </c>
      <c r="I21" t="s">
        <v>3</v>
      </c>
      <c r="J21" t="s">
        <v>4</v>
      </c>
      <c r="K21" s="3" t="s">
        <v>23</v>
      </c>
      <c r="M21" t="s">
        <v>1</v>
      </c>
      <c r="N21" t="s">
        <v>2</v>
      </c>
      <c r="O21" t="s">
        <v>3</v>
      </c>
      <c r="P21" t="s">
        <v>4</v>
      </c>
      <c r="Q21" s="3" t="s">
        <v>23</v>
      </c>
    </row>
    <row r="22" spans="1:17">
      <c r="A22" t="s">
        <v>5</v>
      </c>
      <c r="B22">
        <v>1</v>
      </c>
      <c r="C22">
        <f>Datos!J4</f>
        <v>2000</v>
      </c>
      <c r="D22">
        <f>B22*C22</f>
        <v>2000</v>
      </c>
      <c r="E22">
        <f t="shared" ref="E22:E34" si="9">(B22)^2</f>
        <v>1</v>
      </c>
      <c r="G22" t="s">
        <v>5</v>
      </c>
      <c r="H22">
        <v>1</v>
      </c>
      <c r="I22">
        <f>Datos!K4</f>
        <v>0</v>
      </c>
      <c r="J22">
        <f>H22*I22</f>
        <v>0</v>
      </c>
      <c r="K22">
        <f t="shared" ref="K22:K34" si="10">(H22)^2</f>
        <v>1</v>
      </c>
      <c r="M22" t="s">
        <v>5</v>
      </c>
      <c r="N22">
        <v>1</v>
      </c>
      <c r="O22">
        <f>Datos!L4</f>
        <v>0</v>
      </c>
      <c r="P22">
        <f>N22*O22</f>
        <v>0</v>
      </c>
      <c r="Q22">
        <f t="shared" ref="Q22:Q34" si="11">(N22)^2</f>
        <v>1</v>
      </c>
    </row>
    <row r="23" spans="1:17">
      <c r="A23" t="s">
        <v>6</v>
      </c>
      <c r="B23">
        <v>2</v>
      </c>
      <c r="C23">
        <f>Datos!J5</f>
        <v>22000</v>
      </c>
      <c r="D23">
        <f t="shared" ref="D23:D33" si="12">B23*C23</f>
        <v>44000</v>
      </c>
      <c r="E23">
        <f t="shared" si="9"/>
        <v>4</v>
      </c>
      <c r="G23" t="s">
        <v>6</v>
      </c>
      <c r="H23">
        <v>2</v>
      </c>
      <c r="I23">
        <f>Datos!K5</f>
        <v>0</v>
      </c>
      <c r="J23">
        <f t="shared" ref="J23:J33" si="13">H23*I23</f>
        <v>0</v>
      </c>
      <c r="K23">
        <f t="shared" si="10"/>
        <v>4</v>
      </c>
      <c r="M23" t="s">
        <v>6</v>
      </c>
      <c r="N23">
        <v>2</v>
      </c>
      <c r="O23">
        <f>Datos!L5</f>
        <v>0</v>
      </c>
      <c r="P23">
        <f t="shared" ref="P23:P33" si="14">N23*O23</f>
        <v>0</v>
      </c>
      <c r="Q23">
        <f t="shared" si="11"/>
        <v>4</v>
      </c>
    </row>
    <row r="24" spans="1:17">
      <c r="A24" t="s">
        <v>7</v>
      </c>
      <c r="B24">
        <v>3</v>
      </c>
      <c r="C24">
        <f>Datos!J6</f>
        <v>33000</v>
      </c>
      <c r="D24">
        <f t="shared" si="12"/>
        <v>99000</v>
      </c>
      <c r="E24">
        <f t="shared" si="9"/>
        <v>9</v>
      </c>
      <c r="G24" t="s">
        <v>7</v>
      </c>
      <c r="H24">
        <v>3</v>
      </c>
      <c r="I24">
        <f>Datos!K6</f>
        <v>0</v>
      </c>
      <c r="J24">
        <f t="shared" si="13"/>
        <v>0</v>
      </c>
      <c r="K24">
        <f t="shared" si="10"/>
        <v>9</v>
      </c>
      <c r="M24" t="s">
        <v>7</v>
      </c>
      <c r="N24">
        <v>3</v>
      </c>
      <c r="O24">
        <f>Datos!L6</f>
        <v>0</v>
      </c>
      <c r="P24">
        <f t="shared" si="14"/>
        <v>0</v>
      </c>
      <c r="Q24">
        <f t="shared" si="11"/>
        <v>9</v>
      </c>
    </row>
    <row r="25" spans="1:17">
      <c r="A25" t="s">
        <v>8</v>
      </c>
      <c r="B25">
        <v>4</v>
      </c>
      <c r="C25">
        <f>Datos!J7</f>
        <v>2000</v>
      </c>
      <c r="D25">
        <f t="shared" si="12"/>
        <v>8000</v>
      </c>
      <c r="E25">
        <f t="shared" si="9"/>
        <v>16</v>
      </c>
      <c r="G25" t="s">
        <v>8</v>
      </c>
      <c r="H25">
        <v>4</v>
      </c>
      <c r="I25">
        <f>Datos!K7</f>
        <v>0</v>
      </c>
      <c r="J25">
        <f t="shared" si="13"/>
        <v>0</v>
      </c>
      <c r="K25">
        <f t="shared" si="10"/>
        <v>16</v>
      </c>
      <c r="M25" t="s">
        <v>8</v>
      </c>
      <c r="N25">
        <v>4</v>
      </c>
      <c r="O25">
        <f>Datos!L7</f>
        <v>0</v>
      </c>
      <c r="P25">
        <f t="shared" si="14"/>
        <v>0</v>
      </c>
      <c r="Q25">
        <f t="shared" si="11"/>
        <v>16</v>
      </c>
    </row>
    <row r="26" spans="1:17">
      <c r="A26" t="s">
        <v>9</v>
      </c>
      <c r="B26">
        <v>5</v>
      </c>
      <c r="C26">
        <f>Datos!J8</f>
        <v>3000</v>
      </c>
      <c r="D26">
        <f t="shared" si="12"/>
        <v>15000</v>
      </c>
      <c r="E26">
        <f t="shared" si="9"/>
        <v>25</v>
      </c>
      <c r="G26" t="s">
        <v>9</v>
      </c>
      <c r="H26">
        <v>5</v>
      </c>
      <c r="I26">
        <f>Datos!K8</f>
        <v>0</v>
      </c>
      <c r="J26">
        <f t="shared" si="13"/>
        <v>0</v>
      </c>
      <c r="K26">
        <f t="shared" si="10"/>
        <v>25</v>
      </c>
      <c r="M26" t="s">
        <v>9</v>
      </c>
      <c r="N26">
        <v>5</v>
      </c>
      <c r="O26">
        <f>Datos!L8</f>
        <v>0</v>
      </c>
      <c r="P26">
        <f t="shared" si="14"/>
        <v>0</v>
      </c>
      <c r="Q26">
        <f t="shared" si="11"/>
        <v>25</v>
      </c>
    </row>
    <row r="27" spans="1:17">
      <c r="A27" t="s">
        <v>10</v>
      </c>
      <c r="B27">
        <v>6</v>
      </c>
      <c r="C27">
        <f>Datos!J9</f>
        <v>4000</v>
      </c>
      <c r="D27">
        <f t="shared" si="12"/>
        <v>24000</v>
      </c>
      <c r="E27">
        <f t="shared" si="9"/>
        <v>36</v>
      </c>
      <c r="G27" t="s">
        <v>10</v>
      </c>
      <c r="H27">
        <v>6</v>
      </c>
      <c r="I27">
        <f>Datos!K9</f>
        <v>0</v>
      </c>
      <c r="J27">
        <f t="shared" si="13"/>
        <v>0</v>
      </c>
      <c r="K27">
        <f t="shared" si="10"/>
        <v>36</v>
      </c>
      <c r="M27" t="s">
        <v>10</v>
      </c>
      <c r="N27">
        <v>6</v>
      </c>
      <c r="O27">
        <f>Datos!L9</f>
        <v>0</v>
      </c>
      <c r="P27">
        <f t="shared" si="14"/>
        <v>0</v>
      </c>
      <c r="Q27">
        <f t="shared" si="11"/>
        <v>36</v>
      </c>
    </row>
    <row r="28" spans="1:17">
      <c r="A28" t="s">
        <v>11</v>
      </c>
      <c r="B28">
        <v>7</v>
      </c>
      <c r="C28">
        <f>Datos!J10</f>
        <v>5200</v>
      </c>
      <c r="D28">
        <f t="shared" si="12"/>
        <v>36400</v>
      </c>
      <c r="E28">
        <f t="shared" si="9"/>
        <v>49</v>
      </c>
      <c r="G28" t="s">
        <v>11</v>
      </c>
      <c r="H28">
        <v>7</v>
      </c>
      <c r="I28">
        <f>Datos!K10</f>
        <v>0</v>
      </c>
      <c r="J28">
        <f t="shared" si="13"/>
        <v>0</v>
      </c>
      <c r="K28">
        <f t="shared" si="10"/>
        <v>49</v>
      </c>
      <c r="M28" t="s">
        <v>11</v>
      </c>
      <c r="N28">
        <v>7</v>
      </c>
      <c r="O28">
        <f>Datos!L10</f>
        <v>0</v>
      </c>
      <c r="P28">
        <f t="shared" si="14"/>
        <v>0</v>
      </c>
      <c r="Q28">
        <f t="shared" si="11"/>
        <v>49</v>
      </c>
    </row>
    <row r="29" spans="1:17">
      <c r="A29" t="s">
        <v>12</v>
      </c>
      <c r="B29">
        <v>8</v>
      </c>
      <c r="C29">
        <f>Datos!J11</f>
        <v>9100</v>
      </c>
      <c r="D29">
        <f t="shared" si="12"/>
        <v>72800</v>
      </c>
      <c r="E29">
        <f t="shared" si="9"/>
        <v>64</v>
      </c>
      <c r="G29" t="s">
        <v>12</v>
      </c>
      <c r="H29">
        <v>8</v>
      </c>
      <c r="I29">
        <f>Datos!K11</f>
        <v>0</v>
      </c>
      <c r="J29">
        <f t="shared" si="13"/>
        <v>0</v>
      </c>
      <c r="K29">
        <f t="shared" si="10"/>
        <v>64</v>
      </c>
      <c r="M29" t="s">
        <v>12</v>
      </c>
      <c r="N29">
        <v>8</v>
      </c>
      <c r="O29">
        <f>Datos!L11</f>
        <v>0</v>
      </c>
      <c r="P29">
        <f t="shared" si="14"/>
        <v>0</v>
      </c>
      <c r="Q29">
        <f t="shared" si="11"/>
        <v>64</v>
      </c>
    </row>
    <row r="30" spans="1:17">
      <c r="A30" t="s">
        <v>13</v>
      </c>
      <c r="B30">
        <v>9</v>
      </c>
      <c r="C30">
        <f>Datos!J12</f>
        <v>5000</v>
      </c>
      <c r="D30">
        <f t="shared" si="12"/>
        <v>45000</v>
      </c>
      <c r="E30">
        <f t="shared" si="9"/>
        <v>81</v>
      </c>
      <c r="G30" t="s">
        <v>13</v>
      </c>
      <c r="H30">
        <v>9</v>
      </c>
      <c r="I30">
        <f>Datos!K12</f>
        <v>0</v>
      </c>
      <c r="J30">
        <f t="shared" si="13"/>
        <v>0</v>
      </c>
      <c r="K30">
        <f t="shared" si="10"/>
        <v>81</v>
      </c>
      <c r="M30" t="s">
        <v>13</v>
      </c>
      <c r="N30">
        <v>9</v>
      </c>
      <c r="O30">
        <f>Datos!L12</f>
        <v>0</v>
      </c>
      <c r="P30">
        <f t="shared" si="14"/>
        <v>0</v>
      </c>
      <c r="Q30">
        <f t="shared" si="11"/>
        <v>81</v>
      </c>
    </row>
    <row r="31" spans="1:17">
      <c r="A31" t="s">
        <v>14</v>
      </c>
      <c r="B31">
        <v>10</v>
      </c>
      <c r="C31">
        <f>Datos!J13</f>
        <v>7400</v>
      </c>
      <c r="D31">
        <f t="shared" si="12"/>
        <v>74000</v>
      </c>
      <c r="E31">
        <f t="shared" si="9"/>
        <v>100</v>
      </c>
      <c r="G31" t="s">
        <v>14</v>
      </c>
      <c r="H31">
        <v>10</v>
      </c>
      <c r="I31">
        <f>Datos!K13</f>
        <v>0</v>
      </c>
      <c r="J31">
        <f t="shared" si="13"/>
        <v>0</v>
      </c>
      <c r="K31">
        <f t="shared" si="10"/>
        <v>100</v>
      </c>
      <c r="M31" t="s">
        <v>14</v>
      </c>
      <c r="N31">
        <v>10</v>
      </c>
      <c r="O31">
        <f>Datos!L13</f>
        <v>0</v>
      </c>
      <c r="P31">
        <f t="shared" si="14"/>
        <v>0</v>
      </c>
      <c r="Q31">
        <f t="shared" si="11"/>
        <v>100</v>
      </c>
    </row>
    <row r="32" spans="1:17">
      <c r="A32" t="s">
        <v>15</v>
      </c>
      <c r="B32">
        <v>11</v>
      </c>
      <c r="C32">
        <f>Datos!J14</f>
        <v>4000</v>
      </c>
      <c r="D32">
        <f t="shared" si="12"/>
        <v>44000</v>
      </c>
      <c r="E32">
        <f t="shared" si="9"/>
        <v>121</v>
      </c>
      <c r="G32" t="s">
        <v>15</v>
      </c>
      <c r="H32">
        <v>11</v>
      </c>
      <c r="I32">
        <f>Datos!K14</f>
        <v>0</v>
      </c>
      <c r="J32">
        <f t="shared" si="13"/>
        <v>0</v>
      </c>
      <c r="K32">
        <f t="shared" si="10"/>
        <v>121</v>
      </c>
      <c r="M32" t="s">
        <v>15</v>
      </c>
      <c r="N32">
        <v>11</v>
      </c>
      <c r="O32">
        <f>Datos!L14</f>
        <v>0</v>
      </c>
      <c r="P32">
        <f t="shared" si="14"/>
        <v>0</v>
      </c>
      <c r="Q32">
        <f t="shared" si="11"/>
        <v>121</v>
      </c>
    </row>
    <row r="33" spans="1:17">
      <c r="A33" t="s">
        <v>16</v>
      </c>
      <c r="B33">
        <v>12</v>
      </c>
      <c r="C33">
        <f>Datos!J15</f>
        <v>4500</v>
      </c>
      <c r="D33">
        <f t="shared" si="12"/>
        <v>54000</v>
      </c>
      <c r="E33">
        <f t="shared" si="9"/>
        <v>144</v>
      </c>
      <c r="G33" t="s">
        <v>16</v>
      </c>
      <c r="H33">
        <v>12</v>
      </c>
      <c r="I33">
        <f>Datos!K15</f>
        <v>0</v>
      </c>
      <c r="J33">
        <f t="shared" si="13"/>
        <v>0</v>
      </c>
      <c r="K33">
        <f t="shared" si="10"/>
        <v>144</v>
      </c>
      <c r="M33" t="s">
        <v>16</v>
      </c>
      <c r="N33">
        <v>12</v>
      </c>
      <c r="O33">
        <f>Datos!L15</f>
        <v>0</v>
      </c>
      <c r="P33">
        <f t="shared" si="14"/>
        <v>0</v>
      </c>
      <c r="Q33">
        <f t="shared" si="11"/>
        <v>144</v>
      </c>
    </row>
    <row r="34" spans="1:17">
      <c r="A34" t="s">
        <v>22</v>
      </c>
      <c r="B34">
        <f>SUM(B22:B33)</f>
        <v>78</v>
      </c>
      <c r="C34">
        <f>SUBTOTAL(109,C22:C33)</f>
        <v>101200</v>
      </c>
      <c r="D34">
        <f t="shared" ref="D34:E34" si="15">SUM(D22:D33)</f>
        <v>518200</v>
      </c>
      <c r="E34">
        <f t="shared" si="9"/>
        <v>6084</v>
      </c>
      <c r="G34" t="s">
        <v>22</v>
      </c>
      <c r="H34">
        <f>SUM(H22:H33)</f>
        <v>78</v>
      </c>
      <c r="I34">
        <f>SUBTOTAL(109,I22:I33)</f>
        <v>0</v>
      </c>
      <c r="J34">
        <f t="shared" ref="J34:K34" si="16">SUM(J22:J33)</f>
        <v>0</v>
      </c>
      <c r="K34">
        <f t="shared" si="10"/>
        <v>6084</v>
      </c>
      <c r="M34" t="s">
        <v>22</v>
      </c>
      <c r="N34">
        <f>SUM(N22:N33)</f>
        <v>78</v>
      </c>
      <c r="O34">
        <f>SUBTOTAL(109,O22:O33)</f>
        <v>0</v>
      </c>
      <c r="P34">
        <f t="shared" ref="P34:Q34" si="17">SUM(P22:P33)</f>
        <v>0</v>
      </c>
      <c r="Q34">
        <f t="shared" si="11"/>
        <v>6084</v>
      </c>
    </row>
    <row r="35" spans="1:17">
      <c r="A35">
        <f>(C34-(Tabla411[[#Totals],[Periodo]]*B34))/B33</f>
        <v>8416.4335664335667</v>
      </c>
      <c r="B35" s="9">
        <f>((B33*D34)-(B34*C34))/((B33*E34)-(B34^2))</f>
        <v>-25.031378877532724</v>
      </c>
      <c r="E35" s="18"/>
      <c r="G35">
        <f>(I34-(Tabla411[[#Totals],[Periodo]]*H34))/H33</f>
        <v>-16.899766899766899</v>
      </c>
      <c r="H35" s="9">
        <f>((H33*J34)-(H34*I34))/((H33*K34)-(H34^2))</f>
        <v>0</v>
      </c>
      <c r="K35" s="18"/>
      <c r="M35">
        <f>(O34-(Tabla411[[#Totals],[Periodo]]*N34))/N33</f>
        <v>-16.899766899766899</v>
      </c>
      <c r="N35" s="9">
        <f>((N33*P34)-(N34*O34))/((N33*Q34)-(N34^2))</f>
        <v>0</v>
      </c>
      <c r="Q35" s="18"/>
    </row>
    <row r="36" spans="1:17" ht="18.75">
      <c r="A36" s="23" t="s">
        <v>63</v>
      </c>
      <c r="B36" s="23"/>
      <c r="C36" s="23"/>
      <c r="D36" s="23"/>
      <c r="E36" s="23"/>
      <c r="G36" s="23" t="s">
        <v>64</v>
      </c>
      <c r="H36" s="23"/>
      <c r="I36" s="23"/>
      <c r="J36" s="23"/>
      <c r="K36" s="23"/>
      <c r="M36" s="23" t="s">
        <v>65</v>
      </c>
      <c r="N36" s="23"/>
      <c r="O36" s="23"/>
      <c r="P36" s="23"/>
      <c r="Q36" s="23"/>
    </row>
    <row r="37" spans="1:17" ht="17.25">
      <c r="A37" t="s">
        <v>1</v>
      </c>
      <c r="B37" t="s">
        <v>2</v>
      </c>
      <c r="C37" t="s">
        <v>3</v>
      </c>
      <c r="D37" t="s">
        <v>4</v>
      </c>
      <c r="E37" s="3" t="s">
        <v>23</v>
      </c>
      <c r="G37" t="s">
        <v>1</v>
      </c>
      <c r="H37" t="s">
        <v>2</v>
      </c>
      <c r="I37" t="s">
        <v>3</v>
      </c>
      <c r="J37" t="s">
        <v>4</v>
      </c>
      <c r="K37" s="3" t="s">
        <v>23</v>
      </c>
      <c r="M37" t="s">
        <v>1</v>
      </c>
      <c r="N37" t="s">
        <v>2</v>
      </c>
      <c r="O37" t="s">
        <v>3</v>
      </c>
      <c r="P37" t="s">
        <v>4</v>
      </c>
      <c r="Q37" s="3" t="s">
        <v>23</v>
      </c>
    </row>
    <row r="38" spans="1:17">
      <c r="A38" t="s">
        <v>5</v>
      </c>
      <c r="B38">
        <v>1</v>
      </c>
      <c r="C38">
        <f>Datos!M4</f>
        <v>500</v>
      </c>
      <c r="D38">
        <f>B38*C38</f>
        <v>500</v>
      </c>
      <c r="E38">
        <f t="shared" ref="E38:E50" si="18">(B38)^2</f>
        <v>1</v>
      </c>
      <c r="G38" t="s">
        <v>5</v>
      </c>
      <c r="H38">
        <v>1</v>
      </c>
      <c r="I38">
        <f>Datos!N4</f>
        <v>0</v>
      </c>
      <c r="J38">
        <f>H38*I38</f>
        <v>0</v>
      </c>
      <c r="K38">
        <f t="shared" ref="K38:K50" si="19">(H38)^2</f>
        <v>1</v>
      </c>
      <c r="M38" t="s">
        <v>5</v>
      </c>
      <c r="N38">
        <v>1</v>
      </c>
      <c r="O38">
        <f>Datos!O4</f>
        <v>500</v>
      </c>
      <c r="P38">
        <f>N38*O38</f>
        <v>500</v>
      </c>
      <c r="Q38">
        <f t="shared" ref="Q38:Q50" si="20">(N38)^2</f>
        <v>1</v>
      </c>
    </row>
    <row r="39" spans="1:17">
      <c r="A39" t="s">
        <v>6</v>
      </c>
      <c r="B39">
        <v>2</v>
      </c>
      <c r="C39">
        <f>Datos!M5</f>
        <v>10000</v>
      </c>
      <c r="D39">
        <f t="shared" ref="D39:D49" si="21">B39*C39</f>
        <v>20000</v>
      </c>
      <c r="E39">
        <f t="shared" si="18"/>
        <v>4</v>
      </c>
      <c r="G39" t="s">
        <v>6</v>
      </c>
      <c r="H39">
        <v>2</v>
      </c>
      <c r="I39">
        <f>Datos!N5</f>
        <v>0</v>
      </c>
      <c r="J39">
        <f t="shared" ref="J39:J49" si="22">H39*I39</f>
        <v>0</v>
      </c>
      <c r="K39">
        <f t="shared" si="19"/>
        <v>4</v>
      </c>
      <c r="M39" t="s">
        <v>6</v>
      </c>
      <c r="N39">
        <v>2</v>
      </c>
      <c r="O39">
        <f>Datos!O5</f>
        <v>10000</v>
      </c>
      <c r="P39">
        <f t="shared" ref="P39:P49" si="23">N39*O39</f>
        <v>20000</v>
      </c>
      <c r="Q39">
        <f t="shared" si="20"/>
        <v>4</v>
      </c>
    </row>
    <row r="40" spans="1:17">
      <c r="A40" t="s">
        <v>7</v>
      </c>
      <c r="B40">
        <v>3</v>
      </c>
      <c r="C40">
        <f>Datos!M6</f>
        <v>15000</v>
      </c>
      <c r="D40">
        <f t="shared" si="21"/>
        <v>45000</v>
      </c>
      <c r="E40">
        <f t="shared" si="18"/>
        <v>9</v>
      </c>
      <c r="G40" t="s">
        <v>7</v>
      </c>
      <c r="H40">
        <v>3</v>
      </c>
      <c r="I40">
        <f>Datos!N6</f>
        <v>0</v>
      </c>
      <c r="J40">
        <f t="shared" si="22"/>
        <v>0</v>
      </c>
      <c r="K40">
        <f t="shared" si="19"/>
        <v>9</v>
      </c>
      <c r="M40" t="s">
        <v>7</v>
      </c>
      <c r="N40">
        <v>3</v>
      </c>
      <c r="O40">
        <f>Datos!O6</f>
        <v>15000</v>
      </c>
      <c r="P40">
        <f t="shared" si="23"/>
        <v>45000</v>
      </c>
      <c r="Q40">
        <f t="shared" si="20"/>
        <v>9</v>
      </c>
    </row>
    <row r="41" spans="1:17">
      <c r="A41" t="s">
        <v>8</v>
      </c>
      <c r="B41">
        <v>4</v>
      </c>
      <c r="C41">
        <f>Datos!M7</f>
        <v>500</v>
      </c>
      <c r="D41">
        <f t="shared" si="21"/>
        <v>2000</v>
      </c>
      <c r="E41">
        <f t="shared" si="18"/>
        <v>16</v>
      </c>
      <c r="G41" t="s">
        <v>8</v>
      </c>
      <c r="H41">
        <v>4</v>
      </c>
      <c r="I41">
        <f>Datos!N7</f>
        <v>0</v>
      </c>
      <c r="J41">
        <f t="shared" si="22"/>
        <v>0</v>
      </c>
      <c r="K41">
        <f t="shared" si="19"/>
        <v>16</v>
      </c>
      <c r="M41" t="s">
        <v>8</v>
      </c>
      <c r="N41">
        <v>4</v>
      </c>
      <c r="O41">
        <f>Datos!O7</f>
        <v>500</v>
      </c>
      <c r="P41">
        <f t="shared" si="23"/>
        <v>2000</v>
      </c>
      <c r="Q41">
        <f t="shared" si="20"/>
        <v>16</v>
      </c>
    </row>
    <row r="42" spans="1:17">
      <c r="A42" t="s">
        <v>9</v>
      </c>
      <c r="B42">
        <v>5</v>
      </c>
      <c r="C42">
        <f>Datos!M8</f>
        <v>500</v>
      </c>
      <c r="D42">
        <f t="shared" si="21"/>
        <v>2500</v>
      </c>
      <c r="E42">
        <f t="shared" si="18"/>
        <v>25</v>
      </c>
      <c r="G42" t="s">
        <v>9</v>
      </c>
      <c r="H42">
        <v>5</v>
      </c>
      <c r="I42">
        <f>Datos!N8</f>
        <v>0</v>
      </c>
      <c r="J42">
        <f t="shared" si="22"/>
        <v>0</v>
      </c>
      <c r="K42">
        <f t="shared" si="19"/>
        <v>25</v>
      </c>
      <c r="M42" t="s">
        <v>9</v>
      </c>
      <c r="N42">
        <v>5</v>
      </c>
      <c r="O42">
        <f>Datos!O8</f>
        <v>500</v>
      </c>
      <c r="P42">
        <f t="shared" si="23"/>
        <v>2500</v>
      </c>
      <c r="Q42">
        <f t="shared" si="20"/>
        <v>25</v>
      </c>
    </row>
    <row r="43" spans="1:17">
      <c r="A43" t="s">
        <v>10</v>
      </c>
      <c r="B43">
        <v>6</v>
      </c>
      <c r="C43">
        <f>Datos!M9</f>
        <v>500</v>
      </c>
      <c r="D43">
        <f t="shared" si="21"/>
        <v>3000</v>
      </c>
      <c r="E43">
        <f t="shared" si="18"/>
        <v>36</v>
      </c>
      <c r="G43" t="s">
        <v>10</v>
      </c>
      <c r="H43">
        <v>6</v>
      </c>
      <c r="I43">
        <f>Datos!N9</f>
        <v>0</v>
      </c>
      <c r="J43">
        <f t="shared" si="22"/>
        <v>0</v>
      </c>
      <c r="K43">
        <f t="shared" si="19"/>
        <v>36</v>
      </c>
      <c r="M43" t="s">
        <v>10</v>
      </c>
      <c r="N43">
        <v>6</v>
      </c>
      <c r="O43">
        <f>Datos!O9</f>
        <v>500</v>
      </c>
      <c r="P43">
        <f t="shared" si="23"/>
        <v>3000</v>
      </c>
      <c r="Q43">
        <f t="shared" si="20"/>
        <v>36</v>
      </c>
    </row>
    <row r="44" spans="1:17">
      <c r="A44" t="s">
        <v>11</v>
      </c>
      <c r="B44">
        <v>7</v>
      </c>
      <c r="C44">
        <f>Datos!M10</f>
        <v>100</v>
      </c>
      <c r="D44">
        <f t="shared" si="21"/>
        <v>700</v>
      </c>
      <c r="E44">
        <f t="shared" si="18"/>
        <v>49</v>
      </c>
      <c r="G44" t="s">
        <v>11</v>
      </c>
      <c r="H44">
        <v>7</v>
      </c>
      <c r="I44">
        <f>Datos!N10</f>
        <v>0</v>
      </c>
      <c r="J44">
        <f t="shared" si="22"/>
        <v>0</v>
      </c>
      <c r="K44">
        <f t="shared" si="19"/>
        <v>49</v>
      </c>
      <c r="M44" t="s">
        <v>11</v>
      </c>
      <c r="N44">
        <v>7</v>
      </c>
      <c r="O44">
        <f>Datos!O10</f>
        <v>100</v>
      </c>
      <c r="P44">
        <f t="shared" si="23"/>
        <v>700</v>
      </c>
      <c r="Q44">
        <f t="shared" si="20"/>
        <v>49</v>
      </c>
    </row>
    <row r="45" spans="1:17">
      <c r="A45" t="s">
        <v>12</v>
      </c>
      <c r="B45">
        <v>8</v>
      </c>
      <c r="C45">
        <f>Datos!M11</f>
        <v>50</v>
      </c>
      <c r="D45">
        <f t="shared" si="21"/>
        <v>400</v>
      </c>
      <c r="E45">
        <f t="shared" si="18"/>
        <v>64</v>
      </c>
      <c r="G45" t="s">
        <v>12</v>
      </c>
      <c r="H45">
        <v>8</v>
      </c>
      <c r="I45">
        <f>Datos!N11</f>
        <v>0</v>
      </c>
      <c r="J45">
        <f t="shared" si="22"/>
        <v>0</v>
      </c>
      <c r="K45">
        <f t="shared" si="19"/>
        <v>64</v>
      </c>
      <c r="M45" t="s">
        <v>12</v>
      </c>
      <c r="N45">
        <v>8</v>
      </c>
      <c r="O45">
        <f>Datos!O11</f>
        <v>50</v>
      </c>
      <c r="P45">
        <f t="shared" si="23"/>
        <v>400</v>
      </c>
      <c r="Q45">
        <f t="shared" si="20"/>
        <v>64</v>
      </c>
    </row>
    <row r="46" spans="1:17">
      <c r="A46" t="s">
        <v>13</v>
      </c>
      <c r="B46">
        <v>9</v>
      </c>
      <c r="C46">
        <f>Datos!M12</f>
        <v>2000</v>
      </c>
      <c r="D46">
        <f t="shared" si="21"/>
        <v>18000</v>
      </c>
      <c r="E46">
        <f t="shared" si="18"/>
        <v>81</v>
      </c>
      <c r="G46" t="s">
        <v>13</v>
      </c>
      <c r="H46">
        <v>9</v>
      </c>
      <c r="I46">
        <f>Datos!N12</f>
        <v>0</v>
      </c>
      <c r="J46">
        <f t="shared" si="22"/>
        <v>0</v>
      </c>
      <c r="K46">
        <f t="shared" si="19"/>
        <v>81</v>
      </c>
      <c r="M46" t="s">
        <v>13</v>
      </c>
      <c r="N46">
        <v>9</v>
      </c>
      <c r="O46">
        <f>Datos!O12</f>
        <v>2000</v>
      </c>
      <c r="P46">
        <f t="shared" si="23"/>
        <v>18000</v>
      </c>
      <c r="Q46">
        <f t="shared" si="20"/>
        <v>81</v>
      </c>
    </row>
    <row r="47" spans="1:17">
      <c r="A47" t="s">
        <v>14</v>
      </c>
      <c r="B47">
        <v>10</v>
      </c>
      <c r="C47">
        <f>Datos!M13</f>
        <v>2700</v>
      </c>
      <c r="D47">
        <f t="shared" si="21"/>
        <v>27000</v>
      </c>
      <c r="E47">
        <f t="shared" si="18"/>
        <v>100</v>
      </c>
      <c r="G47" t="s">
        <v>14</v>
      </c>
      <c r="H47">
        <v>10</v>
      </c>
      <c r="I47">
        <f>Datos!N13</f>
        <v>0</v>
      </c>
      <c r="J47">
        <f t="shared" si="22"/>
        <v>0</v>
      </c>
      <c r="K47">
        <f t="shared" si="19"/>
        <v>100</v>
      </c>
      <c r="M47" t="s">
        <v>14</v>
      </c>
      <c r="N47">
        <v>10</v>
      </c>
      <c r="O47">
        <f>Datos!O13</f>
        <v>2700</v>
      </c>
      <c r="P47">
        <f t="shared" si="23"/>
        <v>27000</v>
      </c>
      <c r="Q47">
        <f t="shared" si="20"/>
        <v>100</v>
      </c>
    </row>
    <row r="48" spans="1:17">
      <c r="A48" t="s">
        <v>15</v>
      </c>
      <c r="B48">
        <v>11</v>
      </c>
      <c r="C48">
        <f>Datos!M14</f>
        <v>500</v>
      </c>
      <c r="D48">
        <f t="shared" si="21"/>
        <v>5500</v>
      </c>
      <c r="E48">
        <f t="shared" si="18"/>
        <v>121</v>
      </c>
      <c r="G48" t="s">
        <v>15</v>
      </c>
      <c r="H48">
        <v>11</v>
      </c>
      <c r="I48">
        <f>Datos!N14</f>
        <v>0</v>
      </c>
      <c r="J48">
        <f t="shared" si="22"/>
        <v>0</v>
      </c>
      <c r="K48">
        <f t="shared" si="19"/>
        <v>121</v>
      </c>
      <c r="M48" t="s">
        <v>15</v>
      </c>
      <c r="N48">
        <v>11</v>
      </c>
      <c r="O48">
        <f>Datos!O14</f>
        <v>500</v>
      </c>
      <c r="P48">
        <f t="shared" si="23"/>
        <v>5500</v>
      </c>
      <c r="Q48">
        <f t="shared" si="20"/>
        <v>121</v>
      </c>
    </row>
    <row r="49" spans="1:17">
      <c r="A49" t="s">
        <v>16</v>
      </c>
      <c r="B49">
        <v>12</v>
      </c>
      <c r="C49">
        <f>Datos!M15</f>
        <v>250</v>
      </c>
      <c r="D49">
        <f t="shared" si="21"/>
        <v>3000</v>
      </c>
      <c r="E49">
        <f t="shared" si="18"/>
        <v>144</v>
      </c>
      <c r="G49" t="s">
        <v>16</v>
      </c>
      <c r="H49">
        <v>12</v>
      </c>
      <c r="I49">
        <f>Datos!N15</f>
        <v>0</v>
      </c>
      <c r="J49">
        <f t="shared" si="22"/>
        <v>0</v>
      </c>
      <c r="K49">
        <f t="shared" si="19"/>
        <v>144</v>
      </c>
      <c r="M49" t="s">
        <v>16</v>
      </c>
      <c r="N49">
        <v>12</v>
      </c>
      <c r="O49">
        <f>Datos!O15</f>
        <v>250</v>
      </c>
      <c r="P49">
        <f t="shared" si="23"/>
        <v>3000</v>
      </c>
      <c r="Q49">
        <f t="shared" si="20"/>
        <v>144</v>
      </c>
    </row>
    <row r="50" spans="1:17">
      <c r="A50" t="s">
        <v>22</v>
      </c>
      <c r="B50">
        <f>SUM(B38:B49)</f>
        <v>78</v>
      </c>
      <c r="C50">
        <f>SUBTOTAL(109,C38:C49)</f>
        <v>32600</v>
      </c>
      <c r="D50">
        <f t="shared" ref="D50:E50" si="24">SUM(D38:D49)</f>
        <v>127600</v>
      </c>
      <c r="E50">
        <f t="shared" si="18"/>
        <v>6084</v>
      </c>
      <c r="G50" t="s">
        <v>22</v>
      </c>
      <c r="H50">
        <f>SUM(H38:H49)</f>
        <v>78</v>
      </c>
      <c r="I50">
        <f>SUBTOTAL(109,I38:I49)</f>
        <v>0</v>
      </c>
      <c r="J50">
        <f t="shared" ref="J50:K50" si="25">SUM(J38:J49)</f>
        <v>0</v>
      </c>
      <c r="K50">
        <f t="shared" si="19"/>
        <v>6084</v>
      </c>
      <c r="M50" t="s">
        <v>22</v>
      </c>
      <c r="N50">
        <f>SUM(N38:N49)</f>
        <v>78</v>
      </c>
      <c r="O50">
        <f>SUBTOTAL(109,O38:O49)</f>
        <v>32600</v>
      </c>
      <c r="P50">
        <f t="shared" ref="P50:Q50" si="26">SUM(P38:P49)</f>
        <v>127600</v>
      </c>
      <c r="Q50">
        <f t="shared" si="20"/>
        <v>6084</v>
      </c>
    </row>
    <row r="51" spans="1:17">
      <c r="A51">
        <f>(C50-(Tabla411[[#Totals],[Periodo]]*B50))/B49</f>
        <v>2699.7668997668998</v>
      </c>
      <c r="B51" s="9">
        <f>((B49*D50)-(B50*C50))/((B49*E50)-(B50^2))</f>
        <v>-15.115653577192038</v>
      </c>
      <c r="E51" s="18"/>
      <c r="G51">
        <f>(I50-(Tabla411[[#Totals],[Periodo]]*H50))/H49</f>
        <v>-16.899766899766899</v>
      </c>
      <c r="H51" s="9">
        <f>((H49*J50)-(H50*I50))/((H49*K50)-(H50^2))</f>
        <v>0</v>
      </c>
      <c r="K51" s="18"/>
      <c r="M51">
        <f>(O50-(Tabla411[[#Totals],[Periodo]]*N50))/N49</f>
        <v>2699.7668997668998</v>
      </c>
      <c r="N51" s="9">
        <f>((N49*P50)-(N50*O50))/((N49*Q50)-(N50^2))</f>
        <v>-15.115653577192038</v>
      </c>
      <c r="Q51" s="18"/>
    </row>
    <row r="52" spans="1:17" ht="18.75">
      <c r="A52" s="23" t="s">
        <v>66</v>
      </c>
      <c r="B52" s="23"/>
      <c r="C52" s="23"/>
      <c r="D52" s="23"/>
      <c r="E52" s="23"/>
      <c r="G52" s="23" t="s">
        <v>22</v>
      </c>
      <c r="H52" s="23"/>
      <c r="I52" s="23"/>
      <c r="J52" s="23"/>
      <c r="K52" s="23"/>
    </row>
    <row r="53" spans="1:17" ht="17.25">
      <c r="A53" t="s">
        <v>1</v>
      </c>
      <c r="B53" t="s">
        <v>2</v>
      </c>
      <c r="C53" t="s">
        <v>3</v>
      </c>
      <c r="D53" t="s">
        <v>4</v>
      </c>
      <c r="E53" s="3" t="s">
        <v>23</v>
      </c>
      <c r="G53" t="s">
        <v>1</v>
      </c>
      <c r="H53" t="s">
        <v>2</v>
      </c>
      <c r="I53" t="s">
        <v>3</v>
      </c>
      <c r="J53" t="s">
        <v>4</v>
      </c>
      <c r="K53" s="3" t="s">
        <v>23</v>
      </c>
      <c r="M53" s="12"/>
      <c r="N53" s="12"/>
      <c r="O53" s="9"/>
    </row>
    <row r="54" spans="1:17">
      <c r="A54" t="s">
        <v>5</v>
      </c>
      <c r="B54">
        <v>1</v>
      </c>
      <c r="C54">
        <f>Datos!P4</f>
        <v>500</v>
      </c>
      <c r="D54">
        <f>B54*C54</f>
        <v>500</v>
      </c>
      <c r="E54">
        <f t="shared" ref="E54:E66" si="27">(B54)^2</f>
        <v>1</v>
      </c>
      <c r="G54" t="s">
        <v>5</v>
      </c>
      <c r="H54">
        <v>1</v>
      </c>
      <c r="I54">
        <f>Datos!Q4</f>
        <v>400</v>
      </c>
      <c r="J54">
        <f>H54*I54</f>
        <v>400</v>
      </c>
      <c r="K54">
        <f t="shared" ref="K54:K66" si="28">(H54)^2</f>
        <v>1</v>
      </c>
      <c r="M54" s="11"/>
      <c r="N54" s="11"/>
    </row>
    <row r="55" spans="1:17">
      <c r="A55" t="s">
        <v>6</v>
      </c>
      <c r="B55">
        <v>2</v>
      </c>
      <c r="C55">
        <f>Datos!P5</f>
        <v>10000</v>
      </c>
      <c r="D55">
        <f t="shared" ref="D55:D65" si="29">B55*C55</f>
        <v>20000</v>
      </c>
      <c r="E55">
        <f t="shared" si="27"/>
        <v>4</v>
      </c>
      <c r="G55" t="s">
        <v>6</v>
      </c>
      <c r="H55">
        <v>2</v>
      </c>
      <c r="I55">
        <f>Datos!Q5</f>
        <v>4400</v>
      </c>
      <c r="J55">
        <f t="shared" ref="J55:J65" si="30">H55*I55</f>
        <v>8800</v>
      </c>
      <c r="K55">
        <f t="shared" si="28"/>
        <v>4</v>
      </c>
      <c r="M55" s="11"/>
      <c r="N55" s="11"/>
    </row>
    <row r="56" spans="1:17">
      <c r="A56" t="s">
        <v>7</v>
      </c>
      <c r="B56">
        <v>3</v>
      </c>
      <c r="C56">
        <f>Datos!P6</f>
        <v>15000</v>
      </c>
      <c r="D56">
        <f t="shared" si="29"/>
        <v>45000</v>
      </c>
      <c r="E56">
        <f t="shared" si="27"/>
        <v>9</v>
      </c>
      <c r="G56" t="s">
        <v>7</v>
      </c>
      <c r="H56">
        <v>3</v>
      </c>
      <c r="I56">
        <f>Datos!Q6</f>
        <v>6600</v>
      </c>
      <c r="J56">
        <f t="shared" si="30"/>
        <v>19800</v>
      </c>
      <c r="K56">
        <f t="shared" si="28"/>
        <v>9</v>
      </c>
    </row>
    <row r="57" spans="1:17">
      <c r="A57" t="s">
        <v>8</v>
      </c>
      <c r="B57">
        <v>4</v>
      </c>
      <c r="C57">
        <f>Datos!P7</f>
        <v>500</v>
      </c>
      <c r="D57">
        <f t="shared" si="29"/>
        <v>2000</v>
      </c>
      <c r="E57">
        <f t="shared" si="27"/>
        <v>16</v>
      </c>
      <c r="G57" t="s">
        <v>8</v>
      </c>
      <c r="H57">
        <v>4</v>
      </c>
      <c r="I57">
        <f>Datos!Q7</f>
        <v>400</v>
      </c>
      <c r="J57">
        <f t="shared" si="30"/>
        <v>1600</v>
      </c>
      <c r="K57">
        <f t="shared" si="28"/>
        <v>16</v>
      </c>
    </row>
    <row r="58" spans="1:17">
      <c r="A58" t="s">
        <v>9</v>
      </c>
      <c r="B58">
        <v>5</v>
      </c>
      <c r="C58">
        <f>Datos!P8</f>
        <v>500</v>
      </c>
      <c r="D58">
        <f t="shared" si="29"/>
        <v>2500</v>
      </c>
      <c r="E58">
        <f t="shared" si="27"/>
        <v>25</v>
      </c>
      <c r="G58" t="s">
        <v>9</v>
      </c>
      <c r="H58">
        <v>5</v>
      </c>
      <c r="I58">
        <f>Datos!Q8</f>
        <v>600</v>
      </c>
      <c r="J58">
        <f t="shared" si="30"/>
        <v>3000</v>
      </c>
      <c r="K58">
        <f t="shared" si="28"/>
        <v>25</v>
      </c>
    </row>
    <row r="59" spans="1:17">
      <c r="A59" t="s">
        <v>10</v>
      </c>
      <c r="B59">
        <v>6</v>
      </c>
      <c r="C59">
        <f>Datos!P9</f>
        <v>500</v>
      </c>
      <c r="D59">
        <f t="shared" si="29"/>
        <v>3000</v>
      </c>
      <c r="E59">
        <f t="shared" si="27"/>
        <v>36</v>
      </c>
      <c r="G59" t="s">
        <v>10</v>
      </c>
      <c r="H59">
        <v>6</v>
      </c>
      <c r="I59">
        <f>Datos!Q9</f>
        <v>800</v>
      </c>
      <c r="J59">
        <f t="shared" si="30"/>
        <v>4800</v>
      </c>
      <c r="K59">
        <f t="shared" si="28"/>
        <v>36</v>
      </c>
    </row>
    <row r="60" spans="1:17">
      <c r="A60" t="s">
        <v>11</v>
      </c>
      <c r="B60">
        <v>7</v>
      </c>
      <c r="C60">
        <f>Datos!P10</f>
        <v>100</v>
      </c>
      <c r="D60">
        <f t="shared" si="29"/>
        <v>700</v>
      </c>
      <c r="E60">
        <f t="shared" si="27"/>
        <v>49</v>
      </c>
      <c r="G60" t="s">
        <v>11</v>
      </c>
      <c r="H60">
        <v>7</v>
      </c>
      <c r="I60">
        <f>Datos!Q10</f>
        <v>1040</v>
      </c>
      <c r="J60">
        <f t="shared" si="30"/>
        <v>7280</v>
      </c>
      <c r="K60">
        <f t="shared" si="28"/>
        <v>49</v>
      </c>
    </row>
    <row r="61" spans="1:17">
      <c r="A61" t="s">
        <v>12</v>
      </c>
      <c r="B61">
        <v>8</v>
      </c>
      <c r="C61">
        <f>Datos!P11</f>
        <v>50</v>
      </c>
      <c r="D61">
        <f t="shared" si="29"/>
        <v>400</v>
      </c>
      <c r="E61">
        <f t="shared" si="27"/>
        <v>64</v>
      </c>
      <c r="G61" t="s">
        <v>12</v>
      </c>
      <c r="H61">
        <v>8</v>
      </c>
      <c r="I61">
        <f>Datos!Q11</f>
        <v>1820</v>
      </c>
      <c r="J61">
        <f t="shared" si="30"/>
        <v>14560</v>
      </c>
      <c r="K61">
        <f t="shared" si="28"/>
        <v>64</v>
      </c>
    </row>
    <row r="62" spans="1:17">
      <c r="A62" t="s">
        <v>13</v>
      </c>
      <c r="B62">
        <v>9</v>
      </c>
      <c r="C62">
        <f>Datos!P12</f>
        <v>2000</v>
      </c>
      <c r="D62">
        <f t="shared" si="29"/>
        <v>18000</v>
      </c>
      <c r="E62">
        <f t="shared" si="27"/>
        <v>81</v>
      </c>
      <c r="G62" t="s">
        <v>13</v>
      </c>
      <c r="H62">
        <v>9</v>
      </c>
      <c r="I62">
        <f>Datos!Q12</f>
        <v>1000</v>
      </c>
      <c r="J62">
        <f t="shared" si="30"/>
        <v>9000</v>
      </c>
      <c r="K62">
        <f t="shared" si="28"/>
        <v>81</v>
      </c>
      <c r="L62" s="4"/>
      <c r="M62" s="4"/>
      <c r="N62" s="4"/>
    </row>
    <row r="63" spans="1:17">
      <c r="A63" t="s">
        <v>14</v>
      </c>
      <c r="B63">
        <v>10</v>
      </c>
      <c r="C63">
        <f>Datos!P13</f>
        <v>2700</v>
      </c>
      <c r="D63">
        <f t="shared" si="29"/>
        <v>27000</v>
      </c>
      <c r="E63">
        <f t="shared" si="27"/>
        <v>100</v>
      </c>
      <c r="G63" t="s">
        <v>14</v>
      </c>
      <c r="H63">
        <v>10</v>
      </c>
      <c r="I63">
        <f>Datos!Q13</f>
        <v>1480</v>
      </c>
      <c r="J63">
        <f t="shared" si="30"/>
        <v>14800</v>
      </c>
      <c r="K63">
        <f t="shared" si="28"/>
        <v>100</v>
      </c>
      <c r="L63" s="4"/>
      <c r="M63" s="4"/>
      <c r="N63" s="4"/>
    </row>
    <row r="64" spans="1:17">
      <c r="A64" t="s">
        <v>15</v>
      </c>
      <c r="B64">
        <v>11</v>
      </c>
      <c r="C64">
        <f>Datos!P14</f>
        <v>500</v>
      </c>
      <c r="D64">
        <f t="shared" si="29"/>
        <v>5500</v>
      </c>
      <c r="E64">
        <f t="shared" si="27"/>
        <v>121</v>
      </c>
      <c r="G64" t="s">
        <v>15</v>
      </c>
      <c r="H64">
        <v>11</v>
      </c>
      <c r="I64">
        <f>Datos!Q14</f>
        <v>800</v>
      </c>
      <c r="J64">
        <f t="shared" si="30"/>
        <v>8800</v>
      </c>
      <c r="K64">
        <f t="shared" si="28"/>
        <v>121</v>
      </c>
      <c r="L64" s="4"/>
      <c r="M64" s="4"/>
      <c r="N64" s="4"/>
    </row>
    <row r="65" spans="1:14">
      <c r="A65" t="s">
        <v>16</v>
      </c>
      <c r="B65">
        <v>12</v>
      </c>
      <c r="C65">
        <f>Datos!P15</f>
        <v>250</v>
      </c>
      <c r="D65">
        <f t="shared" si="29"/>
        <v>3000</v>
      </c>
      <c r="E65">
        <f t="shared" si="27"/>
        <v>144</v>
      </c>
      <c r="G65" t="s">
        <v>16</v>
      </c>
      <c r="H65">
        <v>12</v>
      </c>
      <c r="I65">
        <f>Datos!Q15</f>
        <v>900</v>
      </c>
      <c r="J65">
        <f t="shared" si="30"/>
        <v>10800</v>
      </c>
      <c r="K65">
        <f t="shared" si="28"/>
        <v>144</v>
      </c>
      <c r="L65" s="4"/>
      <c r="M65" s="4"/>
      <c r="N65" s="4"/>
    </row>
    <row r="66" spans="1:14">
      <c r="A66" t="s">
        <v>22</v>
      </c>
      <c r="B66">
        <f>SUM(B54:B65)</f>
        <v>78</v>
      </c>
      <c r="C66">
        <f>SUBTOTAL(109,C54:C65)</f>
        <v>32600</v>
      </c>
      <c r="D66">
        <f t="shared" ref="D66:E66" si="31">SUM(D54:D65)</f>
        <v>127600</v>
      </c>
      <c r="E66">
        <f t="shared" si="27"/>
        <v>6084</v>
      </c>
      <c r="G66" t="s">
        <v>22</v>
      </c>
      <c r="H66">
        <f>SUM(H54:H65)</f>
        <v>78</v>
      </c>
      <c r="I66">
        <f>SUM(I54:I65)</f>
        <v>20240</v>
      </c>
      <c r="J66">
        <f t="shared" ref="I66:J66" si="32">SUM(J54:J65)</f>
        <v>103640</v>
      </c>
      <c r="K66">
        <f t="shared" si="28"/>
        <v>6084</v>
      </c>
      <c r="L66" s="4"/>
      <c r="M66" s="4"/>
      <c r="N66" s="4"/>
    </row>
    <row r="67" spans="1:14">
      <c r="A67">
        <f>(C66-(Tabla411[[#Totals],[Periodo]]*B66))/B65</f>
        <v>2699.7668997668998</v>
      </c>
      <c r="B67" s="9">
        <f>((B65*D66)-(B66*C66))/((B65*E66)-(B66^2))</f>
        <v>-15.115653577192038</v>
      </c>
      <c r="E67" s="18"/>
      <c r="G67">
        <f>(I66-(Tabla411[[#Totals],[Periodo]]*H66))/H65</f>
        <v>1669.7668997668998</v>
      </c>
      <c r="H67" s="9">
        <f>((H65*J66)-(H66*I66))/((H65*K66)-(H66^2))</f>
        <v>-5.0062757755065448</v>
      </c>
      <c r="I67" s="11"/>
      <c r="J67" s="11"/>
      <c r="K67" s="24"/>
      <c r="L67" s="4"/>
      <c r="M67" s="4" t="s">
        <v>24</v>
      </c>
      <c r="N67" s="4" t="s">
        <v>25</v>
      </c>
    </row>
    <row r="70" spans="1:14">
      <c r="I70" s="9"/>
    </row>
    <row r="71" spans="1:14">
      <c r="I71" s="9"/>
    </row>
    <row r="72" spans="1:14">
      <c r="I72" s="9"/>
    </row>
    <row r="73" spans="1:14">
      <c r="G73" s="9"/>
      <c r="H73" s="9"/>
      <c r="I73" s="9"/>
    </row>
    <row r="74" spans="1:14">
      <c r="G74" s="9"/>
      <c r="H74" s="9"/>
      <c r="I74" s="9"/>
    </row>
    <row r="75" spans="1:14">
      <c r="G75" s="9"/>
      <c r="H75" s="9"/>
      <c r="I75" s="9"/>
    </row>
    <row r="76" spans="1:14">
      <c r="G76" s="9"/>
      <c r="H76" s="9"/>
      <c r="I76" s="9"/>
    </row>
    <row r="77" spans="1:14">
      <c r="G77" s="9"/>
      <c r="H77" s="9"/>
      <c r="I77" s="9"/>
    </row>
    <row r="78" spans="1:14">
      <c r="G78" s="9"/>
      <c r="H78" s="9"/>
      <c r="I78" s="9"/>
    </row>
    <row r="79" spans="1:14">
      <c r="H79" s="9"/>
      <c r="I79" s="9"/>
    </row>
    <row r="80" spans="1:14">
      <c r="H80" s="9"/>
      <c r="I80" s="9"/>
    </row>
    <row r="81" spans="1:9">
      <c r="H81" s="9"/>
      <c r="I81" s="9"/>
    </row>
    <row r="82" spans="1:9">
      <c r="G82" s="9"/>
      <c r="H82" s="9"/>
      <c r="I82" s="9"/>
    </row>
    <row r="83" spans="1:9">
      <c r="G83" s="9"/>
      <c r="H83" s="9"/>
      <c r="I83" s="9"/>
    </row>
    <row r="84" spans="1:9">
      <c r="G84" s="12"/>
      <c r="H84" s="12"/>
      <c r="I84" s="9"/>
    </row>
    <row r="85" spans="1:9">
      <c r="A85" s="14"/>
      <c r="B85" s="13"/>
      <c r="C85" s="13"/>
      <c r="D85" s="13"/>
      <c r="E85" s="13"/>
      <c r="F85" s="13"/>
    </row>
    <row r="86" spans="1:9">
      <c r="A86" s="15"/>
      <c r="B86" s="14"/>
      <c r="C86" s="14"/>
      <c r="D86" s="14"/>
      <c r="E86" s="14"/>
      <c r="F86" s="14"/>
    </row>
    <row r="87" spans="1:9">
      <c r="B87" s="15"/>
      <c r="C87" s="15"/>
      <c r="D87" s="15"/>
      <c r="E87" s="15"/>
      <c r="F87" s="15"/>
    </row>
  </sheetData>
  <mergeCells count="12">
    <mergeCell ref="A52:E52"/>
    <mergeCell ref="G52:K52"/>
    <mergeCell ref="A20:E20"/>
    <mergeCell ref="G20:K20"/>
    <mergeCell ref="M20:Q20"/>
    <mergeCell ref="A36:E36"/>
    <mergeCell ref="G36:K36"/>
    <mergeCell ref="M36:Q36"/>
    <mergeCell ref="A1:P2"/>
    <mergeCell ref="A4:E4"/>
    <mergeCell ref="G4:K4"/>
    <mergeCell ref="M4:Q4"/>
  </mergeCells>
  <pageMargins left="0.7" right="0.7" top="0.75" bottom="0.75" header="0.3" footer="0.3"/>
  <pageSetup orientation="portrait" r:id="rId1"/>
  <headerFooter>
    <oddHeader>&amp;C&amp;"Engravers MT,Normal"&amp;20VENTAS PROMEDIO</oddHeader>
  </headerFooter>
  <drawing r:id="rId2"/>
  <tableParts count="11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O83"/>
  <sheetViews>
    <sheetView showGridLines="0" showRowColHeaders="0" workbookViewId="0">
      <selection activeCell="D72" sqref="D72"/>
    </sheetView>
  </sheetViews>
  <sheetFormatPr baseColWidth="10" defaultRowHeight="15"/>
  <cols>
    <col min="3" max="3" width="24.140625" bestFit="1" customWidth="1"/>
    <col min="4" max="4" width="12" customWidth="1"/>
    <col min="5" max="5" width="32.42578125" bestFit="1" customWidth="1"/>
    <col min="6" max="6" width="29.5703125" customWidth="1"/>
    <col min="8" max="8" width="24.140625" bestFit="1" customWidth="1"/>
    <col min="9" max="9" width="12" bestFit="1" customWidth="1"/>
    <col min="10" max="10" width="32.42578125" bestFit="1" customWidth="1"/>
    <col min="13" max="13" width="24.140625" bestFit="1" customWidth="1"/>
    <col min="14" max="14" width="12" bestFit="1" customWidth="1"/>
    <col min="15" max="15" width="32.42578125" bestFit="1" customWidth="1"/>
  </cols>
  <sheetData>
    <row r="1" spans="1:15">
      <c r="A1" s="6"/>
      <c r="B1" s="7"/>
      <c r="C1" s="7"/>
      <c r="D1" s="7"/>
      <c r="E1" s="7"/>
      <c r="F1" s="7"/>
      <c r="G1" s="7"/>
      <c r="H1" s="7"/>
      <c r="I1" s="7"/>
      <c r="J1" s="22"/>
      <c r="K1" s="22"/>
      <c r="L1" s="22"/>
      <c r="M1" s="22"/>
      <c r="N1" s="22"/>
      <c r="O1" s="22"/>
    </row>
    <row r="2" spans="1:15">
      <c r="A2" s="7"/>
      <c r="B2" s="7"/>
      <c r="C2" s="7"/>
      <c r="D2" s="7"/>
      <c r="E2" s="7"/>
      <c r="F2" s="7"/>
      <c r="G2" s="7"/>
      <c r="H2" s="7"/>
      <c r="I2" s="7"/>
      <c r="J2" s="22"/>
      <c r="K2" s="22"/>
      <c r="L2" s="22"/>
      <c r="M2" s="22"/>
      <c r="N2" s="22"/>
      <c r="O2" s="22"/>
    </row>
    <row r="3" spans="1:15" ht="18.75">
      <c r="A3" s="25" t="s">
        <v>67</v>
      </c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</row>
    <row r="5" spans="1:15">
      <c r="B5" t="s">
        <v>57</v>
      </c>
      <c r="G5" t="s">
        <v>58</v>
      </c>
      <c r="L5" t="s">
        <v>59</v>
      </c>
    </row>
    <row r="6" spans="1:15">
      <c r="B6" s="1" t="s">
        <v>1</v>
      </c>
      <c r="C6" s="1" t="s">
        <v>26</v>
      </c>
      <c r="D6" s="1" t="s">
        <v>21</v>
      </c>
      <c r="E6" s="1" t="s">
        <v>27</v>
      </c>
      <c r="G6" s="1" t="s">
        <v>1</v>
      </c>
      <c r="H6" s="1" t="s">
        <v>26</v>
      </c>
      <c r="I6" s="1" t="s">
        <v>21</v>
      </c>
      <c r="J6" s="1" t="s">
        <v>27</v>
      </c>
      <c r="L6" s="1" t="s">
        <v>1</v>
      </c>
      <c r="M6" s="1" t="s">
        <v>26</v>
      </c>
      <c r="N6" s="1" t="s">
        <v>21</v>
      </c>
      <c r="O6" s="1" t="s">
        <v>27</v>
      </c>
    </row>
    <row r="7" spans="1:15">
      <c r="B7" t="s">
        <v>5</v>
      </c>
      <c r="C7">
        <f>Tabla411[[#Totals],[Mes]]+(Tabla411[[#Totals],[Mes]]*VentasProm!B6)</f>
        <v>2966.2004662004661</v>
      </c>
      <c r="D7">
        <f>Datos!G19</f>
        <v>2.7777777777777776E-2</v>
      </c>
      <c r="E7">
        <f>Tabla523[[#This Row],[Pronóstico de ventas]]*Tabla523[[#This Row],[IE]]</f>
        <v>82.39445739445739</v>
      </c>
      <c r="G7" t="s">
        <v>5</v>
      </c>
      <c r="H7">
        <f>Tabla41112[[#Totals],[Mes]]+(Tabla41112[[#Totals],[Periodo]]*VentasProm!H6)</f>
        <v>1485.7001972386588</v>
      </c>
      <c r="I7">
        <f>Datos!H19</f>
        <v>2.7777777777777776E-2</v>
      </c>
      <c r="J7">
        <f>Tabla52324[[#This Row],[Pronóstico de ventas]]*Tabla52324[[#This Row],[IE]]</f>
        <v>41.269449923296072</v>
      </c>
      <c r="L7" t="s">
        <v>5</v>
      </c>
      <c r="M7">
        <f>Tabla4111213[[#Totals],[Mes]]+(Tabla4111213[[#Totals],[Periodo]]*VentasProm!N6)</f>
        <v>1485.7001972386588</v>
      </c>
      <c r="N7">
        <f>Datos!I19</f>
        <v>2.7777777777777776E-2</v>
      </c>
      <c r="O7">
        <f>Tabla5232425[[#This Row],[Pronóstico de ventas]]*Tabla5232425[[#This Row],[IE]]</f>
        <v>41.269449923296072</v>
      </c>
    </row>
    <row r="8" spans="1:15">
      <c r="B8" t="s">
        <v>6</v>
      </c>
      <c r="C8">
        <f>Tabla411[[#Totals],[Mes]]+(Tabla411[[#Totals],[Mes]]*VentasProm!B7)</f>
        <v>4449.3006993006993</v>
      </c>
      <c r="D8">
        <f>Datos!G20</f>
        <v>5.5555555555555552E-2</v>
      </c>
      <c r="E8">
        <f>Tabla523[[#This Row],[Pronóstico de ventas]]*Tabla523[[#This Row],[IE]]</f>
        <v>247.18337218337217</v>
      </c>
      <c r="G8" t="s">
        <v>6</v>
      </c>
      <c r="H8">
        <f>Tabla41112[[#Totals],[Mes]]+(Tabla41112[[#Totals],[Periodo]]*VentasProm!H7)</f>
        <v>1488.3001613770844</v>
      </c>
      <c r="I8">
        <f>Datos!H20</f>
        <v>5.5555555555555552E-2</v>
      </c>
      <c r="J8">
        <f>Tabla52324[[#This Row],[Pronóstico de ventas]]*Tabla52324[[#This Row],[IE]]</f>
        <v>82.683342298726899</v>
      </c>
      <c r="L8" t="s">
        <v>6</v>
      </c>
      <c r="M8">
        <f>Tabla4111213[[#Totals],[Mes]]+(Tabla4111213[[#Totals],[Periodo]]*VentasProm!N7)</f>
        <v>1488.3001613770844</v>
      </c>
      <c r="N8">
        <f>Datos!I20</f>
        <v>5.5555555555555552E-2</v>
      </c>
      <c r="O8">
        <f>Tabla5232425[[#This Row],[Pronóstico de ventas]]*Tabla5232425[[#This Row],[IE]]</f>
        <v>82.683342298726899</v>
      </c>
    </row>
    <row r="9" spans="1:15">
      <c r="B9" t="s">
        <v>28</v>
      </c>
      <c r="C9">
        <f>Tabla411[[#Totals],[Mes]]+(Tabla411[[#Totals],[Mes]]*VentasProm!B8)</f>
        <v>5932.4009324009321</v>
      </c>
      <c r="D9">
        <f>Datos!G21</f>
        <v>8.3333333333333329E-2</v>
      </c>
      <c r="E9">
        <f>Tabla523[[#This Row],[Pronóstico de ventas]]*Tabla523[[#This Row],[IE]]</f>
        <v>494.36674436674434</v>
      </c>
      <c r="G9" t="s">
        <v>28</v>
      </c>
      <c r="H9">
        <f>Tabla41112[[#Totals],[Mes]]+(Tabla41112[[#Totals],[Periodo]]*VentasProm!H8)</f>
        <v>1490.9001255155101</v>
      </c>
      <c r="I9">
        <f>Datos!H21</f>
        <v>8.3333333333333329E-2</v>
      </c>
      <c r="J9">
        <f>Tabla52324[[#This Row],[Pronóstico de ventas]]*Tabla52324[[#This Row],[IE]]</f>
        <v>124.2416771262925</v>
      </c>
      <c r="L9" t="s">
        <v>28</v>
      </c>
      <c r="M9">
        <f>Tabla4111213[[#Totals],[Mes]]+(Tabla4111213[[#Totals],[Periodo]]*VentasProm!N8)</f>
        <v>1490.9001255155101</v>
      </c>
      <c r="N9">
        <f>Datos!I21</f>
        <v>8.3333333333333329E-2</v>
      </c>
      <c r="O9">
        <f>Tabla5232425[[#This Row],[Pronóstico de ventas]]*Tabla5232425[[#This Row],[IE]]</f>
        <v>124.2416771262925</v>
      </c>
    </row>
    <row r="10" spans="1:15">
      <c r="B10" t="s">
        <v>8</v>
      </c>
      <c r="C10">
        <f>Tabla411[[#Totals],[Mes]]+(Tabla411[[#Totals],[Mes]]*VentasProm!B9)</f>
        <v>7415.5011655011649</v>
      </c>
      <c r="D10">
        <f>Datos!G22</f>
        <v>2.7777777777777776E-2</v>
      </c>
      <c r="E10">
        <f>Tabla523[[#This Row],[Pronóstico de ventas]]*Tabla523[[#This Row],[IE]]</f>
        <v>205.98614348614345</v>
      </c>
      <c r="G10" t="s">
        <v>8</v>
      </c>
      <c r="H10">
        <f>Tabla41112[[#Totals],[Mes]]+(Tabla41112[[#Totals],[Periodo]]*VentasProm!H9)</f>
        <v>1493.5000896539357</v>
      </c>
      <c r="I10">
        <f>Datos!H22</f>
        <v>2.7777777777777776E-2</v>
      </c>
      <c r="J10">
        <f>Tabla52324[[#This Row],[Pronóstico de ventas]]*Tabla52324[[#This Row],[IE]]</f>
        <v>41.486113601498211</v>
      </c>
      <c r="L10" t="s">
        <v>8</v>
      </c>
      <c r="M10">
        <f>Tabla4111213[[#Totals],[Mes]]+(Tabla4111213[[#Totals],[Periodo]]*VentasProm!N9)</f>
        <v>1493.5000896539357</v>
      </c>
      <c r="N10">
        <f>Datos!I22</f>
        <v>2.7777777777777776E-2</v>
      </c>
      <c r="O10">
        <f>Tabla5232425[[#This Row],[Pronóstico de ventas]]*Tabla5232425[[#This Row],[IE]]</f>
        <v>41.486113601498211</v>
      </c>
    </row>
    <row r="11" spans="1:15">
      <c r="B11" t="s">
        <v>9</v>
      </c>
      <c r="C11">
        <f>Tabla411[[#Totals],[Mes]]+(Tabla411[[#Totals],[Mes]]*VentasProm!B10)</f>
        <v>8898.6013986013986</v>
      </c>
      <c r="D11">
        <f>Datos!G23</f>
        <v>5.5555555555555552E-2</v>
      </c>
      <c r="E11">
        <f>Tabla523[[#This Row],[Pronóstico de ventas]]*Tabla523[[#This Row],[IE]]</f>
        <v>494.36674436674434</v>
      </c>
      <c r="G11" t="s">
        <v>9</v>
      </c>
      <c r="H11">
        <f>Tabla41112[[#Totals],[Mes]]+(Tabla41112[[#Totals],[Periodo]]*VentasProm!H10)</f>
        <v>1496.1000537923615</v>
      </c>
      <c r="I11">
        <f>Datos!H23</f>
        <v>5.5555555555555552E-2</v>
      </c>
      <c r="J11">
        <f>Tabla52324[[#This Row],[Pronóstico de ventas]]*Tabla52324[[#This Row],[IE]]</f>
        <v>83.11666965513119</v>
      </c>
      <c r="L11" t="s">
        <v>9</v>
      </c>
      <c r="M11">
        <f>Tabla4111213[[#Totals],[Mes]]+(Tabla4111213[[#Totals],[Periodo]]*VentasProm!N10)</f>
        <v>1496.1000537923615</v>
      </c>
      <c r="N11">
        <f>Datos!I23</f>
        <v>5.5555555555555552E-2</v>
      </c>
      <c r="O11">
        <f>Tabla5232425[[#This Row],[Pronóstico de ventas]]*Tabla5232425[[#This Row],[IE]]</f>
        <v>83.11666965513119</v>
      </c>
    </row>
    <row r="12" spans="1:15">
      <c r="B12" t="s">
        <v>10</v>
      </c>
      <c r="C12">
        <f>Tabla411[[#Totals],[Mes]]+(Tabla411[[#Totals],[Mes]]*VentasProm!B11)</f>
        <v>10381.701631701631</v>
      </c>
      <c r="D12">
        <f>Datos!G24</f>
        <v>8.3333333333333329E-2</v>
      </c>
      <c r="E12">
        <f>Tabla523[[#This Row],[Pronóstico de ventas]]*Tabla523[[#This Row],[IE]]</f>
        <v>865.14180264180254</v>
      </c>
      <c r="G12" t="s">
        <v>10</v>
      </c>
      <c r="H12">
        <f>Tabla41112[[#Totals],[Mes]]+(Tabla41112[[#Totals],[Periodo]]*VentasProm!H11)</f>
        <v>1498.700017930787</v>
      </c>
      <c r="I12">
        <f>Datos!H24</f>
        <v>8.3333333333333329E-2</v>
      </c>
      <c r="J12">
        <f>Tabla52324[[#This Row],[Pronóstico de ventas]]*Tabla52324[[#This Row],[IE]]</f>
        <v>124.89166816089892</v>
      </c>
      <c r="L12" t="s">
        <v>10</v>
      </c>
      <c r="M12">
        <f>Tabla4111213[[#Totals],[Mes]]+(Tabla4111213[[#Totals],[Periodo]]*VentasProm!N11)</f>
        <v>1498.700017930787</v>
      </c>
      <c r="N12">
        <f>Datos!I24</f>
        <v>8.3333333333333329E-2</v>
      </c>
      <c r="O12">
        <f>Tabla5232425[[#This Row],[Pronóstico de ventas]]*Tabla5232425[[#This Row],[IE]]</f>
        <v>124.89166816089892</v>
      </c>
    </row>
    <row r="13" spans="1:15">
      <c r="B13" t="s">
        <v>11</v>
      </c>
      <c r="C13">
        <f>Tabla411[[#Totals],[Mes]]+(Tabla411[[#Totals],[Mes]]*VentasProm!B12)</f>
        <v>11864.801864801864</v>
      </c>
      <c r="D13">
        <f>Datos!G25</f>
        <v>0.1388888888888889</v>
      </c>
      <c r="E13">
        <f>Tabla523[[#This Row],[Pronóstico de ventas]]*Tabla523[[#This Row],[IE]]</f>
        <v>1647.8891478891478</v>
      </c>
      <c r="G13" t="s">
        <v>11</v>
      </c>
      <c r="H13">
        <f>Tabla41112[[#Totals],[Mes]]+(Tabla41112[[#Totals],[Periodo]]*VentasProm!H12)</f>
        <v>1501.2999820692128</v>
      </c>
      <c r="I13">
        <f>Datos!H25</f>
        <v>0.1388888888888889</v>
      </c>
      <c r="J13">
        <f>Tabla52324[[#This Row],[Pronóstico de ventas]]*Tabla52324[[#This Row],[IE]]</f>
        <v>208.5138863985018</v>
      </c>
      <c r="L13" t="s">
        <v>11</v>
      </c>
      <c r="M13">
        <f>Tabla4111213[[#Totals],[Mes]]+(Tabla4111213[[#Totals],[Periodo]]*VentasProm!N12)</f>
        <v>1501.2999820692128</v>
      </c>
      <c r="N13">
        <f>Datos!I25</f>
        <v>0.1388888888888889</v>
      </c>
      <c r="O13">
        <f>Tabla5232425[[#This Row],[Pronóstico de ventas]]*Tabla5232425[[#This Row],[IE]]</f>
        <v>208.5138863985018</v>
      </c>
    </row>
    <row r="14" spans="1:15">
      <c r="B14" t="s">
        <v>12</v>
      </c>
      <c r="C14">
        <f>Tabla411[[#Totals],[Mes]]+(Tabla411[[#Totals],[Mes]]*VentasProm!B13)</f>
        <v>13347.902097902097</v>
      </c>
      <c r="D14">
        <f>Datos!G26</f>
        <v>0.25</v>
      </c>
      <c r="E14">
        <f>Tabla523[[#This Row],[Pronóstico de ventas]]*Tabla523[[#This Row],[IE]]</f>
        <v>3336.9755244755243</v>
      </c>
      <c r="G14" t="s">
        <v>12</v>
      </c>
      <c r="H14">
        <f>Tabla41112[[#Totals],[Mes]]+(Tabla41112[[#Totals],[Periodo]]*VentasProm!H13)</f>
        <v>1503.8999462076385</v>
      </c>
      <c r="I14">
        <f>Datos!H26</f>
        <v>0.25</v>
      </c>
      <c r="J14">
        <f>Tabla52324[[#This Row],[Pronóstico de ventas]]*Tabla52324[[#This Row],[IE]]</f>
        <v>375.97498655190964</v>
      </c>
      <c r="L14" t="s">
        <v>12</v>
      </c>
      <c r="M14">
        <f>Tabla4111213[[#Totals],[Mes]]+(Tabla4111213[[#Totals],[Periodo]]*VentasProm!N13)</f>
        <v>1503.8999462076385</v>
      </c>
      <c r="N14">
        <f>Datos!I26</f>
        <v>0.25</v>
      </c>
      <c r="O14">
        <f>Tabla5232425[[#This Row],[Pronóstico de ventas]]*Tabla5232425[[#This Row],[IE]]</f>
        <v>375.97498655190964</v>
      </c>
    </row>
    <row r="15" spans="1:15">
      <c r="B15" t="s">
        <v>13</v>
      </c>
      <c r="C15">
        <f>Tabla411[[#Totals],[Mes]]+(Tabla411[[#Totals],[Mes]]*VentasProm!B14)</f>
        <v>14831.00233100233</v>
      </c>
      <c r="D15">
        <f>Datos!G27</f>
        <v>2.7777777777777776E-2</v>
      </c>
      <c r="E15">
        <f>Tabla523[[#This Row],[Pronóstico de ventas]]*Tabla523[[#This Row],[IE]]</f>
        <v>411.97228697228689</v>
      </c>
      <c r="G15" t="s">
        <v>13</v>
      </c>
      <c r="H15">
        <f>Tabla41112[[#Totals],[Mes]]+(Tabla41112[[#Totals],[Periodo]]*VentasProm!H14)</f>
        <v>1506.4999103460641</v>
      </c>
      <c r="I15">
        <f>Datos!H27</f>
        <v>2.7777777777777776E-2</v>
      </c>
      <c r="J15">
        <f>Tabla52324[[#This Row],[Pronóstico de ventas]]*Tabla52324[[#This Row],[IE]]</f>
        <v>41.847219731835111</v>
      </c>
      <c r="L15" t="s">
        <v>13</v>
      </c>
      <c r="M15">
        <f>Tabla4111213[[#Totals],[Mes]]+(Tabla4111213[[#Totals],[Periodo]]*VentasProm!N14)</f>
        <v>1506.4999103460641</v>
      </c>
      <c r="N15">
        <f>Datos!I27</f>
        <v>2.7777777777777776E-2</v>
      </c>
      <c r="O15">
        <f>Tabla5232425[[#This Row],[Pronóstico de ventas]]*Tabla5232425[[#This Row],[IE]]</f>
        <v>41.847219731835111</v>
      </c>
    </row>
    <row r="16" spans="1:15">
      <c r="B16" t="s">
        <v>14</v>
      </c>
      <c r="C16">
        <f>Tabla411[[#Totals],[Mes]]+(Tabla411[[#Totals],[Mes]]*VentasProm!B15)</f>
        <v>16314.102564102563</v>
      </c>
      <c r="D16">
        <f>Datos!G28</f>
        <v>5.5555555555555552E-2</v>
      </c>
      <c r="E16">
        <f>Tabla523[[#This Row],[Pronóstico de ventas]]*Tabla523[[#This Row],[IE]]</f>
        <v>906.33903133903118</v>
      </c>
      <c r="G16" t="s">
        <v>14</v>
      </c>
      <c r="H16">
        <f>Tabla41112[[#Totals],[Mes]]+(Tabla41112[[#Totals],[Periodo]]*VentasProm!H15)</f>
        <v>1509.0998744844899</v>
      </c>
      <c r="I16">
        <f>Datos!H28</f>
        <v>5.5555555555555552E-2</v>
      </c>
      <c r="J16">
        <f>Tabla52324[[#This Row],[Pronóstico de ventas]]*Tabla52324[[#This Row],[IE]]</f>
        <v>83.83888191580499</v>
      </c>
      <c r="L16" t="s">
        <v>14</v>
      </c>
      <c r="M16">
        <f>Tabla4111213[[#Totals],[Mes]]+(Tabla4111213[[#Totals],[Periodo]]*VentasProm!N15)</f>
        <v>1509.0998744844899</v>
      </c>
      <c r="N16">
        <f>Datos!I28</f>
        <v>5.5555555555555552E-2</v>
      </c>
      <c r="O16">
        <f>Tabla5232425[[#This Row],[Pronóstico de ventas]]*Tabla5232425[[#This Row],[IE]]</f>
        <v>83.83888191580499</v>
      </c>
    </row>
    <row r="17" spans="2:15">
      <c r="B17" t="s">
        <v>15</v>
      </c>
      <c r="C17">
        <f>Tabla411[[#Totals],[Mes]]+(Tabla411[[#Totals],[Mes]]*VentasProm!B16)</f>
        <v>17797.202797202797</v>
      </c>
      <c r="D17">
        <f>Datos!G29</f>
        <v>8.3333333333333329E-2</v>
      </c>
      <c r="E17">
        <f>Tabla523[[#This Row],[Pronóstico de ventas]]*Tabla523[[#This Row],[IE]]</f>
        <v>1483.100233100233</v>
      </c>
      <c r="G17" t="s">
        <v>15</v>
      </c>
      <c r="H17">
        <f>Tabla41112[[#Totals],[Mes]]+(Tabla41112[[#Totals],[Periodo]]*VentasProm!H16)</f>
        <v>1511.6998386229154</v>
      </c>
      <c r="I17">
        <f>Datos!H29</f>
        <v>8.3333333333333329E-2</v>
      </c>
      <c r="J17">
        <f>Tabla52324[[#This Row],[Pronóstico de ventas]]*Tabla52324[[#This Row],[IE]]</f>
        <v>125.97498655190961</v>
      </c>
      <c r="L17" t="s">
        <v>15</v>
      </c>
      <c r="M17">
        <f>Tabla4111213[[#Totals],[Mes]]+(Tabla4111213[[#Totals],[Periodo]]*VentasProm!N16)</f>
        <v>1511.6998386229154</v>
      </c>
      <c r="N17">
        <f>Datos!I29</f>
        <v>8.3333333333333329E-2</v>
      </c>
      <c r="O17">
        <f>Tabla5232425[[#This Row],[Pronóstico de ventas]]*Tabla5232425[[#This Row],[IE]]</f>
        <v>125.97498655190961</v>
      </c>
    </row>
    <row r="18" spans="2:15">
      <c r="B18" t="s">
        <v>16</v>
      </c>
      <c r="C18">
        <f>Tabla411[[#Totals],[Mes]]+(Tabla411[[#Totals],[Mes]]*VentasProm!B17)</f>
        <v>19280.303030303032</v>
      </c>
      <c r="D18">
        <f>Datos!G30</f>
        <v>0.1111111111111111</v>
      </c>
      <c r="E18">
        <f>Tabla523[[#This Row],[Pronóstico de ventas]]*Tabla523[[#This Row],[IE]]</f>
        <v>2142.2558922558924</v>
      </c>
      <c r="G18" t="s">
        <v>16</v>
      </c>
      <c r="H18">
        <f>Tabla41112[[#Totals],[Mes]]+(Tabla41112[[#Totals],[Periodo]]*VentasProm!H17)</f>
        <v>1514.2998027613412</v>
      </c>
      <c r="I18">
        <f>Datos!H30</f>
        <v>0.1111111111111111</v>
      </c>
      <c r="J18">
        <f>Tabla52324[[#This Row],[Pronóstico de ventas]]*Tabla52324[[#This Row],[IE]]</f>
        <v>168.25553364014903</v>
      </c>
      <c r="L18" t="s">
        <v>16</v>
      </c>
      <c r="M18">
        <f>Tabla4111213[[#Totals],[Mes]]+(Tabla4111213[[#Totals],[Periodo]]*VentasProm!N17)</f>
        <v>1514.2998027613412</v>
      </c>
      <c r="N18">
        <f>Datos!I30</f>
        <v>0.1111111111111111</v>
      </c>
      <c r="O18">
        <f>Tabla5232425[[#This Row],[Pronóstico de ventas]]*Tabla5232425[[#This Row],[IE]]</f>
        <v>168.25553364014903</v>
      </c>
    </row>
    <row r="21" spans="2:15">
      <c r="B21" t="s">
        <v>60</v>
      </c>
      <c r="G21" t="s">
        <v>61</v>
      </c>
      <c r="L21" t="s">
        <v>62</v>
      </c>
    </row>
    <row r="22" spans="2:15">
      <c r="B22" s="1" t="s">
        <v>1</v>
      </c>
      <c r="C22" s="1" t="s">
        <v>26</v>
      </c>
      <c r="D22" s="1" t="s">
        <v>21</v>
      </c>
      <c r="E22" s="1" t="s">
        <v>27</v>
      </c>
      <c r="G22" s="1" t="s">
        <v>1</v>
      </c>
      <c r="H22" s="1" t="s">
        <v>26</v>
      </c>
      <c r="I22" s="1" t="s">
        <v>21</v>
      </c>
      <c r="J22" s="1" t="s">
        <v>27</v>
      </c>
      <c r="L22" s="1" t="s">
        <v>1</v>
      </c>
      <c r="M22" s="1" t="s">
        <v>26</v>
      </c>
      <c r="N22" s="1" t="s">
        <v>21</v>
      </c>
      <c r="O22" s="1" t="s">
        <v>27</v>
      </c>
    </row>
    <row r="23" spans="2:15">
      <c r="B23" t="s">
        <v>5</v>
      </c>
      <c r="C23">
        <f>Tabla41114[[#Totals],[Mes]]+(Tabla41114[[#Totals],[Periodo]]*VentasProm!B22)</f>
        <v>8391.4021875560338</v>
      </c>
      <c r="D23">
        <f>Datos!J19</f>
        <v>1.9762845849802372E-2</v>
      </c>
      <c r="E23">
        <f>Tabla52326[[#This Row],[Pronóstico de ventas]]*Tabla52326[[#This Row],[IE]]</f>
        <v>165.8379878963643</v>
      </c>
      <c r="G23" t="s">
        <v>5</v>
      </c>
      <c r="H23">
        <f>Tabla41115[[#Totals],[Mes]]+(Tabla41115[[#Totals],[Periodo]]*VentasProm!H22)</f>
        <v>-16.899766899766899</v>
      </c>
      <c r="I23" t="e">
        <f>Datos!K19</f>
        <v>#DIV/0!</v>
      </c>
      <c r="J23" t="e">
        <f>Tabla52327[[#This Row],[Pronóstico de ventas]]*Tabla52327[[#This Row],[IE]]</f>
        <v>#DIV/0!</v>
      </c>
      <c r="L23" t="s">
        <v>5</v>
      </c>
      <c r="M23">
        <f>Tabla41117[[#Totals],[Mes]]+(Tabla41117[[#Totals],[Periodo]]*VentasProm!N22)</f>
        <v>-16.899766899766899</v>
      </c>
      <c r="N23" t="e">
        <f>Datos!L19</f>
        <v>#DIV/0!</v>
      </c>
      <c r="O23" t="e">
        <f>Tabla52328[[#This Row],[Pronóstico de ventas]]*Tabla52328[[#This Row],[IE]]</f>
        <v>#DIV/0!</v>
      </c>
    </row>
    <row r="24" spans="2:15">
      <c r="B24" t="s">
        <v>6</v>
      </c>
      <c r="C24">
        <f>Tabla41114[[#Totals],[Mes]]+(Tabla41114[[#Totals],[Periodo]]*VentasProm!B23)</f>
        <v>8366.3708086785009</v>
      </c>
      <c r="D24">
        <f>Datos!J20</f>
        <v>0.21739130434782608</v>
      </c>
      <c r="E24">
        <f>Tabla52326[[#This Row],[Pronóstico de ventas]]*Tabla52326[[#This Row],[IE]]</f>
        <v>1818.7762627561958</v>
      </c>
      <c r="G24" t="s">
        <v>6</v>
      </c>
      <c r="H24">
        <f>Tabla41115[[#Totals],[Mes]]+(Tabla41115[[#Totals],[Periodo]]*VentasProm!H23)</f>
        <v>-16.899766899766899</v>
      </c>
      <c r="I24" t="e">
        <f>Datos!K20</f>
        <v>#DIV/0!</v>
      </c>
      <c r="J24" t="e">
        <f>Tabla52327[[#This Row],[Pronóstico de ventas]]*Tabla52327[[#This Row],[IE]]</f>
        <v>#DIV/0!</v>
      </c>
      <c r="L24" t="s">
        <v>6</v>
      </c>
      <c r="M24">
        <f>Tabla41117[[#Totals],[Mes]]+(Tabla41117[[#Totals],[Periodo]]*VentasProm!N23)</f>
        <v>-16.899766899766899</v>
      </c>
      <c r="N24" t="e">
        <f>Datos!L20</f>
        <v>#DIV/0!</v>
      </c>
      <c r="O24" t="e">
        <f>Tabla52328[[#This Row],[Pronóstico de ventas]]*Tabla52328[[#This Row],[IE]]</f>
        <v>#DIV/0!</v>
      </c>
    </row>
    <row r="25" spans="2:15">
      <c r="B25" t="s">
        <v>28</v>
      </c>
      <c r="C25">
        <f>Tabla41114[[#Totals],[Mes]]+(Tabla41114[[#Totals],[Periodo]]*VentasProm!B24)</f>
        <v>8341.339429800968</v>
      </c>
      <c r="D25">
        <f>Datos!J21</f>
        <v>0.32608695652173914</v>
      </c>
      <c r="E25">
        <f>Tabla52326[[#This Row],[Pronóstico de ventas]]*Tabla52326[[#This Row],[IE]]</f>
        <v>2720.0019879785764</v>
      </c>
      <c r="G25" t="s">
        <v>28</v>
      </c>
      <c r="H25">
        <f>Tabla41115[[#Totals],[Mes]]+(Tabla41115[[#Totals],[Periodo]]*VentasProm!H24)</f>
        <v>-16.899766899766899</v>
      </c>
      <c r="I25" t="e">
        <f>Datos!K21</f>
        <v>#DIV/0!</v>
      </c>
      <c r="J25" t="e">
        <f>Tabla52327[[#This Row],[Pronóstico de ventas]]*Tabla52327[[#This Row],[IE]]</f>
        <v>#DIV/0!</v>
      </c>
      <c r="L25" t="s">
        <v>28</v>
      </c>
      <c r="M25">
        <f>Tabla41117[[#Totals],[Mes]]+(Tabla41117[[#Totals],[Periodo]]*VentasProm!N24)</f>
        <v>-16.899766899766899</v>
      </c>
      <c r="N25" t="e">
        <f>Datos!L21</f>
        <v>#DIV/0!</v>
      </c>
      <c r="O25" t="e">
        <f>Tabla52328[[#This Row],[Pronóstico de ventas]]*Tabla52328[[#This Row],[IE]]</f>
        <v>#DIV/0!</v>
      </c>
    </row>
    <row r="26" spans="2:15">
      <c r="B26" t="s">
        <v>8</v>
      </c>
      <c r="C26">
        <f>Tabla41114[[#Totals],[Mes]]+(Tabla41114[[#Totals],[Periodo]]*VentasProm!B25)</f>
        <v>8316.3080509234351</v>
      </c>
      <c r="D26">
        <f>Datos!J22</f>
        <v>1.9762845849802372E-2</v>
      </c>
      <c r="E26">
        <f>Tabla52326[[#This Row],[Pronóstico de ventas]]*Tabla52326[[#This Row],[IE]]</f>
        <v>164.35391404987027</v>
      </c>
      <c r="G26" t="s">
        <v>8</v>
      </c>
      <c r="H26">
        <f>Tabla41115[[#Totals],[Mes]]+(Tabla41115[[#Totals],[Periodo]]*VentasProm!H25)</f>
        <v>-16.899766899766899</v>
      </c>
      <c r="I26" t="e">
        <f>Datos!K22</f>
        <v>#DIV/0!</v>
      </c>
      <c r="J26" t="e">
        <f>Tabla52327[[#This Row],[Pronóstico de ventas]]*Tabla52327[[#This Row],[IE]]</f>
        <v>#DIV/0!</v>
      </c>
      <c r="L26" t="s">
        <v>8</v>
      </c>
      <c r="M26">
        <f>Tabla41117[[#Totals],[Mes]]+(Tabla41117[[#Totals],[Periodo]]*VentasProm!N25)</f>
        <v>-16.899766899766899</v>
      </c>
      <c r="N26" t="e">
        <f>Datos!L22</f>
        <v>#DIV/0!</v>
      </c>
      <c r="O26" t="e">
        <f>Tabla52328[[#This Row],[Pronóstico de ventas]]*Tabla52328[[#This Row],[IE]]</f>
        <v>#DIV/0!</v>
      </c>
    </row>
    <row r="27" spans="2:15">
      <c r="B27" t="s">
        <v>9</v>
      </c>
      <c r="C27">
        <f>Tabla41114[[#Totals],[Mes]]+(Tabla41114[[#Totals],[Periodo]]*VentasProm!B26)</f>
        <v>8291.276672045904</v>
      </c>
      <c r="D27">
        <f>Datos!J23</f>
        <v>2.9644268774703556E-2</v>
      </c>
      <c r="E27">
        <f>Tabla52326[[#This Row],[Pronóstico de ventas]]*Tabla52326[[#This Row],[IE]]</f>
        <v>245.7888341515584</v>
      </c>
      <c r="G27" t="s">
        <v>9</v>
      </c>
      <c r="H27">
        <f>Tabla41115[[#Totals],[Mes]]+(Tabla41115[[#Totals],[Periodo]]*VentasProm!H26)</f>
        <v>-16.899766899766899</v>
      </c>
      <c r="I27" t="e">
        <f>Datos!K23</f>
        <v>#DIV/0!</v>
      </c>
      <c r="J27" t="e">
        <f>Tabla52327[[#This Row],[Pronóstico de ventas]]*Tabla52327[[#This Row],[IE]]</f>
        <v>#DIV/0!</v>
      </c>
      <c r="L27" t="s">
        <v>9</v>
      </c>
      <c r="M27">
        <f>Tabla41117[[#Totals],[Mes]]+(Tabla41117[[#Totals],[Periodo]]*VentasProm!N26)</f>
        <v>-16.899766899766899</v>
      </c>
      <c r="N27" t="e">
        <f>Datos!L23</f>
        <v>#DIV/0!</v>
      </c>
      <c r="O27" t="e">
        <f>Tabla52328[[#This Row],[Pronóstico de ventas]]*Tabla52328[[#This Row],[IE]]</f>
        <v>#DIV/0!</v>
      </c>
    </row>
    <row r="28" spans="2:15">
      <c r="B28" t="s">
        <v>10</v>
      </c>
      <c r="C28">
        <f>Tabla41114[[#Totals],[Mes]]+(Tabla41114[[#Totals],[Periodo]]*VentasProm!B27)</f>
        <v>8266.2452931683711</v>
      </c>
      <c r="D28">
        <f>Datos!J24</f>
        <v>3.9525691699604744E-2</v>
      </c>
      <c r="E28">
        <f>Tabla52326[[#This Row],[Pronóstico de ventas]]*Tabla52326[[#This Row],[IE]]</f>
        <v>326.72906297108187</v>
      </c>
      <c r="G28" t="s">
        <v>10</v>
      </c>
      <c r="H28">
        <f>Tabla41115[[#Totals],[Mes]]+(Tabla41115[[#Totals],[Periodo]]*VentasProm!H27)</f>
        <v>-16.899766899766899</v>
      </c>
      <c r="I28" t="e">
        <f>Datos!K24</f>
        <v>#DIV/0!</v>
      </c>
      <c r="J28" t="e">
        <f>Tabla52327[[#This Row],[Pronóstico de ventas]]*Tabla52327[[#This Row],[IE]]</f>
        <v>#DIV/0!</v>
      </c>
      <c r="L28" t="s">
        <v>10</v>
      </c>
      <c r="M28">
        <f>Tabla41117[[#Totals],[Mes]]+(Tabla41117[[#Totals],[Periodo]]*VentasProm!N27)</f>
        <v>-16.899766899766899</v>
      </c>
      <c r="N28" t="e">
        <f>Datos!L24</f>
        <v>#DIV/0!</v>
      </c>
      <c r="O28" t="e">
        <f>Tabla52328[[#This Row],[Pronóstico de ventas]]*Tabla52328[[#This Row],[IE]]</f>
        <v>#DIV/0!</v>
      </c>
    </row>
    <row r="29" spans="2:15">
      <c r="B29" t="s">
        <v>11</v>
      </c>
      <c r="C29">
        <f>Tabla41114[[#Totals],[Mes]]+(Tabla41114[[#Totals],[Periodo]]*VentasProm!B28)</f>
        <v>8241.2139142908381</v>
      </c>
      <c r="D29">
        <f>Datos!J25</f>
        <v>5.1383399209486168E-2</v>
      </c>
      <c r="E29">
        <f>Tabla52326[[#This Row],[Pronóstico de ventas]]*Tabla52326[[#This Row],[IE]]</f>
        <v>423.46158452877825</v>
      </c>
      <c r="G29" t="s">
        <v>11</v>
      </c>
      <c r="H29">
        <f>Tabla41115[[#Totals],[Mes]]+(Tabla41115[[#Totals],[Periodo]]*VentasProm!H28)</f>
        <v>-16.899766899766899</v>
      </c>
      <c r="I29" t="e">
        <f>Datos!K25</f>
        <v>#DIV/0!</v>
      </c>
      <c r="J29" t="e">
        <f>Tabla52327[[#This Row],[Pronóstico de ventas]]*Tabla52327[[#This Row],[IE]]</f>
        <v>#DIV/0!</v>
      </c>
      <c r="L29" t="s">
        <v>11</v>
      </c>
      <c r="M29">
        <f>Tabla41117[[#Totals],[Mes]]+(Tabla41117[[#Totals],[Periodo]]*VentasProm!N28)</f>
        <v>-16.899766899766899</v>
      </c>
      <c r="N29" t="e">
        <f>Datos!L25</f>
        <v>#DIV/0!</v>
      </c>
      <c r="O29" t="e">
        <f>Tabla52328[[#This Row],[Pronóstico de ventas]]*Tabla52328[[#This Row],[IE]]</f>
        <v>#DIV/0!</v>
      </c>
    </row>
    <row r="30" spans="2:15">
      <c r="B30" t="s">
        <v>12</v>
      </c>
      <c r="C30">
        <f>Tabla41114[[#Totals],[Mes]]+(Tabla41114[[#Totals],[Periodo]]*VentasProm!B29)</f>
        <v>8216.1825354133052</v>
      </c>
      <c r="D30">
        <f>Datos!J26</f>
        <v>8.9920948616600785E-2</v>
      </c>
      <c r="E30">
        <f>Tabla52326[[#This Row],[Pronóstico de ventas]]*Tabla52326[[#This Row],[IE]]</f>
        <v>738.80692759151259</v>
      </c>
      <c r="G30" t="s">
        <v>12</v>
      </c>
      <c r="H30">
        <f>Tabla41115[[#Totals],[Mes]]+(Tabla41115[[#Totals],[Periodo]]*VentasProm!H29)</f>
        <v>-16.899766899766899</v>
      </c>
      <c r="I30" t="e">
        <f>Datos!K26</f>
        <v>#DIV/0!</v>
      </c>
      <c r="J30" t="e">
        <f>Tabla52327[[#This Row],[Pronóstico de ventas]]*Tabla52327[[#This Row],[IE]]</f>
        <v>#DIV/0!</v>
      </c>
      <c r="L30" t="s">
        <v>12</v>
      </c>
      <c r="M30">
        <f>Tabla41117[[#Totals],[Mes]]+(Tabla41117[[#Totals],[Periodo]]*VentasProm!N29)</f>
        <v>-16.899766899766899</v>
      </c>
      <c r="N30" t="e">
        <f>Datos!L26</f>
        <v>#DIV/0!</v>
      </c>
      <c r="O30" t="e">
        <f>Tabla52328[[#This Row],[Pronóstico de ventas]]*Tabla52328[[#This Row],[IE]]</f>
        <v>#DIV/0!</v>
      </c>
    </row>
    <row r="31" spans="2:15">
      <c r="B31" t="s">
        <v>13</v>
      </c>
      <c r="C31">
        <f>Tabla41114[[#Totals],[Mes]]+(Tabla41114[[#Totals],[Periodo]]*VentasProm!B30)</f>
        <v>8191.1511565357723</v>
      </c>
      <c r="D31">
        <f>Datos!J27</f>
        <v>4.9407114624505928E-2</v>
      </c>
      <c r="E31">
        <f>Tabla52326[[#This Row],[Pronóstico de ventas]]*Tabla52326[[#This Row],[IE]]</f>
        <v>404.7011440976172</v>
      </c>
      <c r="G31" t="s">
        <v>13</v>
      </c>
      <c r="H31">
        <f>Tabla41115[[#Totals],[Mes]]+(Tabla41115[[#Totals],[Periodo]]*VentasProm!H30)</f>
        <v>-16.899766899766899</v>
      </c>
      <c r="I31" t="e">
        <f>Datos!K27</f>
        <v>#DIV/0!</v>
      </c>
      <c r="J31" t="e">
        <f>Tabla52327[[#This Row],[Pronóstico de ventas]]*Tabla52327[[#This Row],[IE]]</f>
        <v>#DIV/0!</v>
      </c>
      <c r="L31" t="s">
        <v>13</v>
      </c>
      <c r="M31">
        <f>Tabla41117[[#Totals],[Mes]]+(Tabla41117[[#Totals],[Periodo]]*VentasProm!N30)</f>
        <v>-16.899766899766899</v>
      </c>
      <c r="N31" t="e">
        <f>Datos!L27</f>
        <v>#DIV/0!</v>
      </c>
      <c r="O31" t="e">
        <f>Tabla52328[[#This Row],[Pronóstico de ventas]]*Tabla52328[[#This Row],[IE]]</f>
        <v>#DIV/0!</v>
      </c>
    </row>
    <row r="32" spans="2:15">
      <c r="B32" t="s">
        <v>14</v>
      </c>
      <c r="C32">
        <f>Tabla41114[[#Totals],[Mes]]+(Tabla41114[[#Totals],[Periodo]]*VentasProm!B31)</f>
        <v>8166.1197776582394</v>
      </c>
      <c r="D32">
        <f>Datos!J28</f>
        <v>7.3122529644268769E-2</v>
      </c>
      <c r="E32">
        <f>Tabla52326[[#This Row],[Pronóstico de ventas]]*Tabla52326[[#This Row],[IE]]</f>
        <v>597.12733552046404</v>
      </c>
      <c r="G32" t="s">
        <v>14</v>
      </c>
      <c r="H32">
        <f>Tabla41115[[#Totals],[Mes]]+(Tabla41115[[#Totals],[Periodo]]*VentasProm!H31)</f>
        <v>-16.899766899766899</v>
      </c>
      <c r="I32" t="e">
        <f>Datos!K28</f>
        <v>#DIV/0!</v>
      </c>
      <c r="J32" t="e">
        <f>Tabla52327[[#This Row],[Pronóstico de ventas]]*Tabla52327[[#This Row],[IE]]</f>
        <v>#DIV/0!</v>
      </c>
      <c r="L32" t="s">
        <v>14</v>
      </c>
      <c r="M32">
        <f>Tabla41117[[#Totals],[Mes]]+(Tabla41117[[#Totals],[Periodo]]*VentasProm!N31)</f>
        <v>-16.899766899766899</v>
      </c>
      <c r="N32" t="e">
        <f>Datos!L28</f>
        <v>#DIV/0!</v>
      </c>
      <c r="O32" t="e">
        <f>Tabla52328[[#This Row],[Pronóstico de ventas]]*Tabla52328[[#This Row],[IE]]</f>
        <v>#DIV/0!</v>
      </c>
    </row>
    <row r="33" spans="2:15">
      <c r="B33" t="s">
        <v>15</v>
      </c>
      <c r="C33">
        <f>Tabla41114[[#Totals],[Mes]]+(Tabla41114[[#Totals],[Periodo]]*VentasProm!B32)</f>
        <v>8141.0883987807065</v>
      </c>
      <c r="D33">
        <f>Datos!J29</f>
        <v>3.9525691699604744E-2</v>
      </c>
      <c r="E33">
        <f>Tabla52326[[#This Row],[Pronóstico de ventas]]*Tabla52326[[#This Row],[IE]]</f>
        <v>321.78215014943504</v>
      </c>
      <c r="G33" t="s">
        <v>15</v>
      </c>
      <c r="H33">
        <f>Tabla41115[[#Totals],[Mes]]+(Tabla41115[[#Totals],[Periodo]]*VentasProm!H32)</f>
        <v>-16.899766899766899</v>
      </c>
      <c r="I33" t="e">
        <f>Datos!K29</f>
        <v>#DIV/0!</v>
      </c>
      <c r="J33" t="e">
        <f>Tabla52327[[#This Row],[Pronóstico de ventas]]*Tabla52327[[#This Row],[IE]]</f>
        <v>#DIV/0!</v>
      </c>
      <c r="L33" t="s">
        <v>15</v>
      </c>
      <c r="M33">
        <f>Tabla41117[[#Totals],[Mes]]+(Tabla41117[[#Totals],[Periodo]]*VentasProm!N32)</f>
        <v>-16.899766899766899</v>
      </c>
      <c r="N33" t="e">
        <f>Datos!L29</f>
        <v>#DIV/0!</v>
      </c>
      <c r="O33" t="e">
        <f>Tabla52328[[#This Row],[Pronóstico de ventas]]*Tabla52328[[#This Row],[IE]]</f>
        <v>#DIV/0!</v>
      </c>
    </row>
    <row r="34" spans="2:15">
      <c r="B34" t="s">
        <v>16</v>
      </c>
      <c r="C34">
        <f>Tabla41114[[#Totals],[Mes]]+(Tabla41114[[#Totals],[Periodo]]*VentasProm!B33)</f>
        <v>8116.0570199031736</v>
      </c>
      <c r="D34">
        <f>Datos!J30</f>
        <v>4.4466403162055336E-2</v>
      </c>
      <c r="E34">
        <f>Tabla52326[[#This Row],[Pronóstico de ventas]]*Tabla52326[[#This Row],[IE]]</f>
        <v>360.89186353324391</v>
      </c>
      <c r="G34" t="s">
        <v>16</v>
      </c>
      <c r="H34">
        <f>Tabla41115[[#Totals],[Mes]]+(Tabla41115[[#Totals],[Periodo]]*VentasProm!H33)</f>
        <v>-16.899766899766899</v>
      </c>
      <c r="I34" t="e">
        <f>Datos!K30</f>
        <v>#DIV/0!</v>
      </c>
      <c r="J34" t="e">
        <f>Tabla52327[[#This Row],[Pronóstico de ventas]]*Tabla52327[[#This Row],[IE]]</f>
        <v>#DIV/0!</v>
      </c>
      <c r="L34" t="s">
        <v>16</v>
      </c>
      <c r="M34">
        <f>Tabla41117[[#Totals],[Mes]]+(Tabla41117[[#Totals],[Periodo]]*VentasProm!N33)</f>
        <v>-16.899766899766899</v>
      </c>
      <c r="N34" t="e">
        <f>Datos!L30</f>
        <v>#DIV/0!</v>
      </c>
      <c r="O34" t="e">
        <f>Tabla52328[[#This Row],[Pronóstico de ventas]]*Tabla52328[[#This Row],[IE]]</f>
        <v>#DIV/0!</v>
      </c>
    </row>
    <row r="37" spans="2:15">
      <c r="B37" t="s">
        <v>63</v>
      </c>
      <c r="G37" t="s">
        <v>64</v>
      </c>
      <c r="L37" t="s">
        <v>65</v>
      </c>
    </row>
    <row r="38" spans="2:15">
      <c r="B38" s="1" t="s">
        <v>1</v>
      </c>
      <c r="C38" s="1" t="s">
        <v>26</v>
      </c>
      <c r="D38" s="1" t="s">
        <v>21</v>
      </c>
      <c r="E38" s="1" t="s">
        <v>27</v>
      </c>
      <c r="G38" s="1" t="s">
        <v>1</v>
      </c>
      <c r="H38" s="1" t="s">
        <v>26</v>
      </c>
      <c r="I38" s="1" t="s">
        <v>21</v>
      </c>
      <c r="J38" s="1" t="s">
        <v>27</v>
      </c>
      <c r="L38" s="1" t="s">
        <v>1</v>
      </c>
      <c r="M38" s="1" t="s">
        <v>26</v>
      </c>
      <c r="N38" s="1" t="s">
        <v>21</v>
      </c>
      <c r="O38" s="1" t="s">
        <v>27</v>
      </c>
    </row>
    <row r="39" spans="2:15">
      <c r="B39" t="s">
        <v>5</v>
      </c>
      <c r="C39">
        <f>Tabla41118[[#Totals],[Mes]]+(Tabla41118[[#Totals],[Periodo]]*VentasProm!B38)</f>
        <v>2684.6512461897078</v>
      </c>
      <c r="D39">
        <f>Datos!M19</f>
        <v>1.5337423312883436E-2</v>
      </c>
      <c r="E39">
        <f>Tabla5232630[[#This Row],[Pronóstico de ventas]]*Tabla5232630[[#This Row],[IE]]</f>
        <v>41.175632610271592</v>
      </c>
      <c r="G39" t="s">
        <v>5</v>
      </c>
      <c r="H39">
        <f>Tabla41119[[#Totals],[Mes]]+(Tabla41119[[#Totals],[Periodo]]*VentasProm!H38)</f>
        <v>-16.899766899766899</v>
      </c>
      <c r="I39" t="e">
        <f>Datos!N19</f>
        <v>#DIV/0!</v>
      </c>
      <c r="J39" t="e">
        <f>Tabla523263031[[#This Row],[Pronóstico de ventas]]*Tabla523263031[[#This Row],[IE]]</f>
        <v>#DIV/0!</v>
      </c>
      <c r="L39" t="s">
        <v>5</v>
      </c>
      <c r="M39">
        <f>Tabla41120[[#Totals],[Mes]]+(Tabla41120[[#Totals],[Periodo]]*VentasProm!N38)</f>
        <v>2684.6512461897078</v>
      </c>
      <c r="N39">
        <f>Datos!O19</f>
        <v>1.5337423312883436E-2</v>
      </c>
      <c r="O39">
        <f>Tabla523263032[[#This Row],[Pronóstico de ventas]]*Tabla523263032[[#This Row],[IE]]</f>
        <v>41.175632610271592</v>
      </c>
    </row>
    <row r="40" spans="2:15">
      <c r="B40" t="s">
        <v>6</v>
      </c>
      <c r="C40">
        <f>Tabla41118[[#Totals],[Mes]]+(Tabla41118[[#Totals],[Periodo]]*VentasProm!B39)</f>
        <v>2669.5355926125158</v>
      </c>
      <c r="D40">
        <f>Datos!M20</f>
        <v>0.30674846625766872</v>
      </c>
      <c r="E40">
        <f>Tabla5232630[[#This Row],[Pronóstico de ventas]]*Tabla5232630[[#This Row],[IE]]</f>
        <v>818.87594865414599</v>
      </c>
      <c r="G40" t="s">
        <v>6</v>
      </c>
      <c r="H40">
        <f>Tabla41119[[#Totals],[Mes]]+(Tabla41119[[#Totals],[Periodo]]*VentasProm!H39)</f>
        <v>-16.899766899766899</v>
      </c>
      <c r="I40" t="e">
        <f>Datos!N20</f>
        <v>#DIV/0!</v>
      </c>
      <c r="J40" t="e">
        <f>Tabla523263031[[#This Row],[Pronóstico de ventas]]*Tabla523263031[[#This Row],[IE]]</f>
        <v>#DIV/0!</v>
      </c>
      <c r="L40" t="s">
        <v>6</v>
      </c>
      <c r="M40">
        <f>Tabla41120[[#Totals],[Mes]]+(Tabla41120[[#Totals],[Periodo]]*VentasProm!N39)</f>
        <v>2669.5355926125158</v>
      </c>
      <c r="N40">
        <f>Datos!O20</f>
        <v>0.30674846625766872</v>
      </c>
      <c r="O40">
        <f>Tabla523263032[[#This Row],[Pronóstico de ventas]]*Tabla523263032[[#This Row],[IE]]</f>
        <v>818.87594865414599</v>
      </c>
    </row>
    <row r="41" spans="2:15">
      <c r="B41" t="s">
        <v>28</v>
      </c>
      <c r="C41">
        <f>Tabla41118[[#Totals],[Mes]]+(Tabla41118[[#Totals],[Periodo]]*VentasProm!B40)</f>
        <v>2654.4199390353238</v>
      </c>
      <c r="D41">
        <f>Datos!M21</f>
        <v>0.46012269938650308</v>
      </c>
      <c r="E41">
        <f>Tabla5232630[[#This Row],[Pronóstico de ventas]]*Tabla5232630[[#This Row],[IE]]</f>
        <v>1221.3588676542902</v>
      </c>
      <c r="G41" t="s">
        <v>28</v>
      </c>
      <c r="H41">
        <f>Tabla41119[[#Totals],[Mes]]+(Tabla41119[[#Totals],[Periodo]]*VentasProm!H40)</f>
        <v>-16.899766899766899</v>
      </c>
      <c r="I41" t="e">
        <f>Datos!N21</f>
        <v>#DIV/0!</v>
      </c>
      <c r="J41" t="e">
        <f>Tabla523263031[[#This Row],[Pronóstico de ventas]]*Tabla523263031[[#This Row],[IE]]</f>
        <v>#DIV/0!</v>
      </c>
      <c r="L41" t="s">
        <v>28</v>
      </c>
      <c r="M41">
        <f>Tabla41120[[#Totals],[Mes]]+(Tabla41120[[#Totals],[Periodo]]*VentasProm!N40)</f>
        <v>2654.4199390353238</v>
      </c>
      <c r="N41">
        <f>Datos!O21</f>
        <v>0.46012269938650308</v>
      </c>
      <c r="O41">
        <f>Tabla523263032[[#This Row],[Pronóstico de ventas]]*Tabla523263032[[#This Row],[IE]]</f>
        <v>1221.3588676542902</v>
      </c>
    </row>
    <row r="42" spans="2:15">
      <c r="B42" t="s">
        <v>8</v>
      </c>
      <c r="C42">
        <f>Tabla41118[[#Totals],[Mes]]+(Tabla41118[[#Totals],[Periodo]]*VentasProm!B41)</f>
        <v>2639.3042854581317</v>
      </c>
      <c r="D42">
        <f>Datos!M22</f>
        <v>1.5337423312883436E-2</v>
      </c>
      <c r="E42">
        <f>Tabla5232630[[#This Row],[Pronóstico de ventas]]*Tabla5232630[[#This Row],[IE]]</f>
        <v>40.480127077578707</v>
      </c>
      <c r="G42" t="s">
        <v>8</v>
      </c>
      <c r="H42">
        <f>Tabla41119[[#Totals],[Mes]]+(Tabla41119[[#Totals],[Periodo]]*VentasProm!H41)</f>
        <v>-16.899766899766899</v>
      </c>
      <c r="I42" t="e">
        <f>Datos!N22</f>
        <v>#DIV/0!</v>
      </c>
      <c r="J42" t="e">
        <f>Tabla523263031[[#This Row],[Pronóstico de ventas]]*Tabla523263031[[#This Row],[IE]]</f>
        <v>#DIV/0!</v>
      </c>
      <c r="L42" t="s">
        <v>8</v>
      </c>
      <c r="M42">
        <f>Tabla41120[[#Totals],[Mes]]+(Tabla41120[[#Totals],[Periodo]]*VentasProm!N41)</f>
        <v>2639.3042854581317</v>
      </c>
      <c r="N42">
        <f>Datos!O22</f>
        <v>1.5337423312883436E-2</v>
      </c>
      <c r="O42">
        <f>Tabla523263032[[#This Row],[Pronóstico de ventas]]*Tabla523263032[[#This Row],[IE]]</f>
        <v>40.480127077578707</v>
      </c>
    </row>
    <row r="43" spans="2:15">
      <c r="B43" t="s">
        <v>9</v>
      </c>
      <c r="C43">
        <f>Tabla41118[[#Totals],[Mes]]+(Tabla41118[[#Totals],[Periodo]]*VentasProm!B42)</f>
        <v>2624.1886318809397</v>
      </c>
      <c r="D43">
        <f>Datos!M23</f>
        <v>1.5337423312883436E-2</v>
      </c>
      <c r="E43">
        <f>Tabla5232630[[#This Row],[Pronóstico de ventas]]*Tabla5232630[[#This Row],[IE]]</f>
        <v>40.248291900014415</v>
      </c>
      <c r="G43" t="s">
        <v>9</v>
      </c>
      <c r="H43">
        <f>Tabla41119[[#Totals],[Mes]]+(Tabla41119[[#Totals],[Periodo]]*VentasProm!H42)</f>
        <v>-16.899766899766899</v>
      </c>
      <c r="I43" t="e">
        <f>Datos!N23</f>
        <v>#DIV/0!</v>
      </c>
      <c r="J43" t="e">
        <f>Tabla523263031[[#This Row],[Pronóstico de ventas]]*Tabla523263031[[#This Row],[IE]]</f>
        <v>#DIV/0!</v>
      </c>
      <c r="L43" t="s">
        <v>9</v>
      </c>
      <c r="M43">
        <f>Tabla41120[[#Totals],[Mes]]+(Tabla41120[[#Totals],[Periodo]]*VentasProm!N42)</f>
        <v>2624.1886318809397</v>
      </c>
      <c r="N43">
        <f>Datos!O23</f>
        <v>1.5337423312883436E-2</v>
      </c>
      <c r="O43">
        <f>Tabla523263032[[#This Row],[Pronóstico de ventas]]*Tabla523263032[[#This Row],[IE]]</f>
        <v>40.248291900014415</v>
      </c>
    </row>
    <row r="44" spans="2:15">
      <c r="B44" t="s">
        <v>10</v>
      </c>
      <c r="C44">
        <f>Tabla41118[[#Totals],[Mes]]+(Tabla41118[[#Totals],[Periodo]]*VentasProm!B43)</f>
        <v>2609.0729783037477</v>
      </c>
      <c r="D44">
        <f>Datos!M24</f>
        <v>1.5337423312883436E-2</v>
      </c>
      <c r="E44">
        <f>Tabla5232630[[#This Row],[Pronóstico de ventas]]*Tabla5232630[[#This Row],[IE]]</f>
        <v>40.016456722450116</v>
      </c>
      <c r="G44" t="s">
        <v>10</v>
      </c>
      <c r="H44">
        <f>Tabla41119[[#Totals],[Mes]]+(Tabla41119[[#Totals],[Periodo]]*VentasProm!H43)</f>
        <v>-16.899766899766899</v>
      </c>
      <c r="I44" t="e">
        <f>Datos!N24</f>
        <v>#DIV/0!</v>
      </c>
      <c r="J44" t="e">
        <f>Tabla523263031[[#This Row],[Pronóstico de ventas]]*Tabla523263031[[#This Row],[IE]]</f>
        <v>#DIV/0!</v>
      </c>
      <c r="L44" t="s">
        <v>10</v>
      </c>
      <c r="M44">
        <f>Tabla41120[[#Totals],[Mes]]+(Tabla41120[[#Totals],[Periodo]]*VentasProm!N43)</f>
        <v>2609.0729783037477</v>
      </c>
      <c r="N44">
        <f>Datos!O24</f>
        <v>1.5337423312883436E-2</v>
      </c>
      <c r="O44">
        <f>Tabla523263032[[#This Row],[Pronóstico de ventas]]*Tabla523263032[[#This Row],[IE]]</f>
        <v>40.016456722450116</v>
      </c>
    </row>
    <row r="45" spans="2:15">
      <c r="B45" t="s">
        <v>11</v>
      </c>
      <c r="C45">
        <f>Tabla41118[[#Totals],[Mes]]+(Tabla41118[[#Totals],[Periodo]]*VentasProm!B44)</f>
        <v>2593.9573247265553</v>
      </c>
      <c r="D45">
        <f>Datos!M25</f>
        <v>3.0674846625766872E-3</v>
      </c>
      <c r="E45">
        <f>Tabla5232630[[#This Row],[Pronóstico de ventas]]*Tabla5232630[[#This Row],[IE]]</f>
        <v>7.9569243089771637</v>
      </c>
      <c r="G45" t="s">
        <v>11</v>
      </c>
      <c r="H45">
        <f>Tabla41119[[#Totals],[Mes]]+(Tabla41119[[#Totals],[Periodo]]*VentasProm!H44)</f>
        <v>-16.899766899766899</v>
      </c>
      <c r="I45" t="e">
        <f>Datos!N25</f>
        <v>#DIV/0!</v>
      </c>
      <c r="J45" t="e">
        <f>Tabla523263031[[#This Row],[Pronóstico de ventas]]*Tabla523263031[[#This Row],[IE]]</f>
        <v>#DIV/0!</v>
      </c>
      <c r="L45" t="s">
        <v>11</v>
      </c>
      <c r="M45">
        <f>Tabla41120[[#Totals],[Mes]]+(Tabla41120[[#Totals],[Periodo]]*VentasProm!N44)</f>
        <v>2593.9573247265553</v>
      </c>
      <c r="N45">
        <f>Datos!O25</f>
        <v>3.0674846625766872E-3</v>
      </c>
      <c r="O45">
        <f>Tabla523263032[[#This Row],[Pronóstico de ventas]]*Tabla523263032[[#This Row],[IE]]</f>
        <v>7.9569243089771637</v>
      </c>
    </row>
    <row r="46" spans="2:15">
      <c r="B46" t="s">
        <v>12</v>
      </c>
      <c r="C46">
        <f>Tabla41118[[#Totals],[Mes]]+(Tabla41118[[#Totals],[Periodo]]*VentasProm!B45)</f>
        <v>2578.8416711493633</v>
      </c>
      <c r="D46">
        <f>Datos!M26</f>
        <v>1.5337423312883436E-3</v>
      </c>
      <c r="E46">
        <f>Tabla5232630[[#This Row],[Pronóstico de ventas]]*Tabla5232630[[#This Row],[IE]]</f>
        <v>3.9552786367321522</v>
      </c>
      <c r="G46" t="s">
        <v>12</v>
      </c>
      <c r="H46">
        <f>Tabla41119[[#Totals],[Mes]]+(Tabla41119[[#Totals],[Periodo]]*VentasProm!H45)</f>
        <v>-16.899766899766899</v>
      </c>
      <c r="I46" t="e">
        <f>Datos!N26</f>
        <v>#DIV/0!</v>
      </c>
      <c r="J46" t="e">
        <f>Tabla523263031[[#This Row],[Pronóstico de ventas]]*Tabla523263031[[#This Row],[IE]]</f>
        <v>#DIV/0!</v>
      </c>
      <c r="L46" t="s">
        <v>12</v>
      </c>
      <c r="M46">
        <f>Tabla41120[[#Totals],[Mes]]+(Tabla41120[[#Totals],[Periodo]]*VentasProm!N45)</f>
        <v>2578.8416711493633</v>
      </c>
      <c r="N46">
        <f>Datos!O26</f>
        <v>1.5337423312883436E-3</v>
      </c>
      <c r="O46">
        <f>Tabla523263032[[#This Row],[Pronóstico de ventas]]*Tabla523263032[[#This Row],[IE]]</f>
        <v>3.9552786367321522</v>
      </c>
    </row>
    <row r="47" spans="2:15">
      <c r="B47" t="s">
        <v>13</v>
      </c>
      <c r="C47">
        <f>Tabla41118[[#Totals],[Mes]]+(Tabla41118[[#Totals],[Periodo]]*VentasProm!B46)</f>
        <v>2563.7260175721713</v>
      </c>
      <c r="D47">
        <f>Datos!M27</f>
        <v>6.1349693251533742E-2</v>
      </c>
      <c r="E47">
        <f>Tabla5232630[[#This Row],[Pronóstico de ventas]]*Tabla5232630[[#This Row],[IE]]</f>
        <v>157.28380475902892</v>
      </c>
      <c r="G47" t="s">
        <v>13</v>
      </c>
      <c r="H47">
        <f>Tabla41119[[#Totals],[Mes]]+(Tabla41119[[#Totals],[Periodo]]*VentasProm!H46)</f>
        <v>-16.899766899766899</v>
      </c>
      <c r="I47" t="e">
        <f>Datos!N27</f>
        <v>#DIV/0!</v>
      </c>
      <c r="J47" t="e">
        <f>Tabla523263031[[#This Row],[Pronóstico de ventas]]*Tabla523263031[[#This Row],[IE]]</f>
        <v>#DIV/0!</v>
      </c>
      <c r="L47" t="s">
        <v>13</v>
      </c>
      <c r="M47">
        <f>Tabla41120[[#Totals],[Mes]]+(Tabla41120[[#Totals],[Periodo]]*VentasProm!N46)</f>
        <v>2563.7260175721713</v>
      </c>
      <c r="N47">
        <f>Datos!O27</f>
        <v>6.1349693251533742E-2</v>
      </c>
      <c r="O47">
        <f>Tabla523263032[[#This Row],[Pronóstico de ventas]]*Tabla523263032[[#This Row],[IE]]</f>
        <v>157.28380475902892</v>
      </c>
    </row>
    <row r="48" spans="2:15">
      <c r="B48" t="s">
        <v>14</v>
      </c>
      <c r="C48">
        <f>Tabla41118[[#Totals],[Mes]]+(Tabla41118[[#Totals],[Periodo]]*VentasProm!B47)</f>
        <v>2548.6103639949793</v>
      </c>
      <c r="D48">
        <f>Datos!M28</f>
        <v>8.2822085889570546E-2</v>
      </c>
      <c r="E48">
        <f>Tabla5232630[[#This Row],[Pronóstico de ventas]]*Tabla5232630[[#This Row],[IE]]</f>
        <v>211.08122646584184</v>
      </c>
      <c r="G48" t="s">
        <v>14</v>
      </c>
      <c r="H48">
        <f>Tabla41119[[#Totals],[Mes]]+(Tabla41119[[#Totals],[Periodo]]*VentasProm!H47)</f>
        <v>-16.899766899766899</v>
      </c>
      <c r="I48" t="e">
        <f>Datos!N28</f>
        <v>#DIV/0!</v>
      </c>
      <c r="J48" t="e">
        <f>Tabla523263031[[#This Row],[Pronóstico de ventas]]*Tabla523263031[[#This Row],[IE]]</f>
        <v>#DIV/0!</v>
      </c>
      <c r="L48" t="s">
        <v>14</v>
      </c>
      <c r="M48">
        <f>Tabla41120[[#Totals],[Mes]]+(Tabla41120[[#Totals],[Periodo]]*VentasProm!N47)</f>
        <v>2548.6103639949793</v>
      </c>
      <c r="N48">
        <f>Datos!O28</f>
        <v>8.2822085889570546E-2</v>
      </c>
      <c r="O48">
        <f>Tabla523263032[[#This Row],[Pronóstico de ventas]]*Tabla523263032[[#This Row],[IE]]</f>
        <v>211.08122646584184</v>
      </c>
    </row>
    <row r="49" spans="2:15">
      <c r="B49" t="s">
        <v>15</v>
      </c>
      <c r="C49">
        <f>Tabla41118[[#Totals],[Mes]]+(Tabla41118[[#Totals],[Periodo]]*VentasProm!B48)</f>
        <v>2533.4947104177872</v>
      </c>
      <c r="D49">
        <f>Datos!M29</f>
        <v>1.5337423312883436E-2</v>
      </c>
      <c r="E49">
        <f>Tabla5232630[[#This Row],[Pronóstico de ventas]]*Tabla5232630[[#This Row],[IE]]</f>
        <v>38.857280834628639</v>
      </c>
      <c r="G49" t="s">
        <v>15</v>
      </c>
      <c r="H49">
        <f>Tabla41119[[#Totals],[Mes]]+(Tabla41119[[#Totals],[Periodo]]*VentasProm!H48)</f>
        <v>-16.899766899766899</v>
      </c>
      <c r="I49" t="e">
        <f>Datos!N29</f>
        <v>#DIV/0!</v>
      </c>
      <c r="J49" t="e">
        <f>Tabla523263031[[#This Row],[Pronóstico de ventas]]*Tabla523263031[[#This Row],[IE]]</f>
        <v>#DIV/0!</v>
      </c>
      <c r="L49" t="s">
        <v>15</v>
      </c>
      <c r="M49">
        <f>Tabla41120[[#Totals],[Mes]]+(Tabla41120[[#Totals],[Periodo]]*VentasProm!N48)</f>
        <v>2533.4947104177872</v>
      </c>
      <c r="N49">
        <f>Datos!O29</f>
        <v>1.5337423312883436E-2</v>
      </c>
      <c r="O49">
        <f>Tabla523263032[[#This Row],[Pronóstico de ventas]]*Tabla523263032[[#This Row],[IE]]</f>
        <v>38.857280834628639</v>
      </c>
    </row>
    <row r="50" spans="2:15">
      <c r="B50" t="s">
        <v>16</v>
      </c>
      <c r="C50">
        <f>Tabla41118[[#Totals],[Mes]]+(Tabla41118[[#Totals],[Periodo]]*VentasProm!B49)</f>
        <v>2518.3790568405952</v>
      </c>
      <c r="D50">
        <f>Datos!M30</f>
        <v>7.6687116564417178E-3</v>
      </c>
      <c r="E50">
        <f>Tabla5232630[[#This Row],[Pronóstico de ventas]]*Tabla5232630[[#This Row],[IE]]</f>
        <v>19.312722828532173</v>
      </c>
      <c r="G50" t="s">
        <v>16</v>
      </c>
      <c r="H50">
        <f>Tabla41119[[#Totals],[Mes]]+(Tabla41119[[#Totals],[Periodo]]*VentasProm!H49)</f>
        <v>-16.899766899766899</v>
      </c>
      <c r="I50" t="e">
        <f>Datos!N30</f>
        <v>#DIV/0!</v>
      </c>
      <c r="J50" t="e">
        <f>Tabla523263031[[#This Row],[Pronóstico de ventas]]*Tabla523263031[[#This Row],[IE]]</f>
        <v>#DIV/0!</v>
      </c>
      <c r="L50" t="s">
        <v>16</v>
      </c>
      <c r="M50">
        <f>Tabla41120[[#Totals],[Mes]]+(Tabla41120[[#Totals],[Periodo]]*VentasProm!N49)</f>
        <v>2518.3790568405952</v>
      </c>
      <c r="N50">
        <f>Datos!O30</f>
        <v>7.6687116564417178E-3</v>
      </c>
      <c r="O50">
        <f>Tabla523263032[[#This Row],[Pronóstico de ventas]]*Tabla523263032[[#This Row],[IE]]</f>
        <v>19.312722828532173</v>
      </c>
    </row>
    <row r="53" spans="2:15">
      <c r="B53" t="s">
        <v>66</v>
      </c>
    </row>
    <row r="54" spans="2:15">
      <c r="B54" s="1" t="s">
        <v>1</v>
      </c>
      <c r="C54" s="1" t="s">
        <v>26</v>
      </c>
      <c r="D54" s="1" t="s">
        <v>21</v>
      </c>
      <c r="E54" s="1" t="s">
        <v>27</v>
      </c>
      <c r="G54" s="1" t="s">
        <v>1</v>
      </c>
      <c r="H54" s="1" t="s">
        <v>26</v>
      </c>
      <c r="I54" s="1" t="s">
        <v>21</v>
      </c>
      <c r="J54" s="1" t="s">
        <v>27</v>
      </c>
    </row>
    <row r="55" spans="2:15">
      <c r="B55" t="s">
        <v>5</v>
      </c>
      <c r="C55">
        <f>Tabla4111821[[#Totals],[Mes]]+(Tabla4111821[[#Totals],[Periodo]]*VentasProm!B54)</f>
        <v>2684.6512461897078</v>
      </c>
      <c r="D55">
        <f>Datos!P19</f>
        <v>1.5337423312883436E-2</v>
      </c>
      <c r="E55">
        <f>Tabla523263033[[#This Row],[Pronóstico de ventas]]*Tabla523263033[[#This Row],[IE]]</f>
        <v>41.175632610271592</v>
      </c>
      <c r="G55" t="s">
        <v>5</v>
      </c>
      <c r="H55">
        <f>VentasProm!G67+(VentasProm!H67*VentasProm!H54)</f>
        <v>1664.7606239913932</v>
      </c>
      <c r="I55">
        <f>Datos!L46</f>
        <v>0.23715415019762845</v>
      </c>
      <c r="J55">
        <f>Tabla5[[#This Row],[Pronóstico de ventas]]*Tabla5[[#This Row],[IE]]</f>
        <v>394.8048910651525</v>
      </c>
    </row>
    <row r="56" spans="2:15">
      <c r="B56" t="s">
        <v>6</v>
      </c>
      <c r="C56">
        <f>Tabla4111821[[#Totals],[Mes]]+(Tabla4111821[[#Totals],[Periodo]]*VentasProm!B55)</f>
        <v>2669.5355926125158</v>
      </c>
      <c r="D56">
        <f>Datos!P20</f>
        <v>0.30674846625766872</v>
      </c>
      <c r="E56">
        <f>Tabla523263033[[#This Row],[Pronóstico de ventas]]*Tabla523263033[[#This Row],[IE]]</f>
        <v>818.87594865414599</v>
      </c>
      <c r="G56" t="s">
        <v>6</v>
      </c>
      <c r="H56">
        <f>VentasProm!G67+(VentasProm!H67*VentasProm!H55)</f>
        <v>1659.7543482158867</v>
      </c>
      <c r="I56">
        <f>Datos!L47</f>
        <v>2.6086956521739131</v>
      </c>
      <c r="J56">
        <f>Tabla5[[#This Row],[Pronóstico de ventas]]*Tabla5[[#This Row],[IE]]</f>
        <v>4329.7939518675303</v>
      </c>
    </row>
    <row r="57" spans="2:15">
      <c r="B57" t="s">
        <v>28</v>
      </c>
      <c r="C57">
        <f>Tabla4111821[[#Totals],[Mes]]+(Tabla4111821[[#Totals],[Periodo]]*VentasProm!B56)</f>
        <v>2654.4199390353238</v>
      </c>
      <c r="D57">
        <f>Datos!P21</f>
        <v>0.46012269938650308</v>
      </c>
      <c r="E57">
        <f>Tabla523263033[[#This Row],[Pronóstico de ventas]]*Tabla523263033[[#This Row],[IE]]</f>
        <v>1221.3588676542902</v>
      </c>
      <c r="G57" t="s">
        <v>28</v>
      </c>
      <c r="H57">
        <f>VentasProm!G67+(VentasProm!H67*VentasProm!H56)</f>
        <v>1654.7480724403802</v>
      </c>
      <c r="I57">
        <f>Datos!L48</f>
        <v>3.9130434782608692</v>
      </c>
      <c r="J57">
        <f>Tabla5[[#This Row],[Pronóstico de ventas]]*Tabla5[[#This Row],[IE]]</f>
        <v>6475.1011530275737</v>
      </c>
    </row>
    <row r="58" spans="2:15">
      <c r="B58" t="s">
        <v>8</v>
      </c>
      <c r="C58">
        <f>Tabla4111821[[#Totals],[Mes]]+(Tabla4111821[[#Totals],[Periodo]]*VentasProm!B57)</f>
        <v>2639.3042854581317</v>
      </c>
      <c r="D58">
        <f>Datos!P22</f>
        <v>1.5337423312883436E-2</v>
      </c>
      <c r="E58">
        <f>Tabla523263033[[#This Row],[Pronóstico de ventas]]*Tabla523263033[[#This Row],[IE]]</f>
        <v>40.480127077578707</v>
      </c>
      <c r="G58" t="s">
        <v>8</v>
      </c>
      <c r="H58">
        <f>VentasProm!G67+(VentasProm!H67*VentasProm!H57)</f>
        <v>1649.7417966648736</v>
      </c>
      <c r="I58">
        <f>Datos!L49</f>
        <v>0.23715415019762845</v>
      </c>
      <c r="J58">
        <f>Tabla5[[#This Row],[Pronóstico de ventas]]*Tabla5[[#This Row],[IE]]</f>
        <v>391.24311383356684</v>
      </c>
    </row>
    <row r="59" spans="2:15">
      <c r="B59" t="s">
        <v>9</v>
      </c>
      <c r="C59">
        <f>Tabla4111821[[#Totals],[Mes]]+(Tabla4111821[[#Totals],[Periodo]]*VentasProm!B58)</f>
        <v>2624.1886318809397</v>
      </c>
      <c r="D59">
        <f>Datos!P23</f>
        <v>1.5337423312883436E-2</v>
      </c>
      <c r="E59">
        <f>Tabla523263033[[#This Row],[Pronóstico de ventas]]*Tabla523263033[[#This Row],[IE]]</f>
        <v>40.248291900014415</v>
      </c>
      <c r="G59" t="s">
        <v>9</v>
      </c>
      <c r="H59">
        <f>VentasProm!G67+(VentasProm!H67*VentasProm!H58)</f>
        <v>1644.7355208893671</v>
      </c>
      <c r="I59">
        <f>Datos!L50</f>
        <v>0.35573122529644269</v>
      </c>
      <c r="J59">
        <f>Tabla5[[#This Row],[Pronóstico de ventas]]*Tabla5[[#This Row],[IE]]</f>
        <v>585.08378213455751</v>
      </c>
    </row>
    <row r="60" spans="2:15">
      <c r="B60" t="s">
        <v>10</v>
      </c>
      <c r="C60">
        <f>Tabla4111821[[#Totals],[Mes]]+(Tabla4111821[[#Totals],[Periodo]]*VentasProm!B59)</f>
        <v>2609.0729783037477</v>
      </c>
      <c r="D60">
        <f>Datos!P24</f>
        <v>1.5337423312883436E-2</v>
      </c>
      <c r="E60">
        <f>Tabla523263033[[#This Row],[Pronóstico de ventas]]*Tabla523263033[[#This Row],[IE]]</f>
        <v>40.016456722450116</v>
      </c>
      <c r="G60" t="s">
        <v>10</v>
      </c>
      <c r="H60">
        <f>VentasProm!G67+(VentasProm!H67*VentasProm!H59)</f>
        <v>1639.7292451138605</v>
      </c>
      <c r="I60">
        <f>Datos!L51</f>
        <v>0.4743083003952569</v>
      </c>
      <c r="J60">
        <f>Tabla5[[#This Row],[Pronóstico de ventas]]*Tabla5[[#This Row],[IE]]</f>
        <v>777.73719135835279</v>
      </c>
    </row>
    <row r="61" spans="2:15">
      <c r="B61" t="s">
        <v>11</v>
      </c>
      <c r="C61">
        <f>Tabla4111821[[#Totals],[Mes]]+(Tabla4111821[[#Totals],[Periodo]]*VentasProm!B60)</f>
        <v>2593.9573247265553</v>
      </c>
      <c r="D61">
        <f>Datos!P25</f>
        <v>3.0674846625766872E-3</v>
      </c>
      <c r="E61">
        <f>Tabla523263033[[#This Row],[Pronóstico de ventas]]*Tabla523263033[[#This Row],[IE]]</f>
        <v>7.9569243089771637</v>
      </c>
      <c r="G61" t="s">
        <v>11</v>
      </c>
      <c r="H61">
        <f>VentasProm!G67+(VentasProm!H67*VentasProm!H60)</f>
        <v>1634.722969338354</v>
      </c>
      <c r="I61">
        <f>Datos!L52</f>
        <v>0.61660079051383399</v>
      </c>
      <c r="J61">
        <f>Tabla5[[#This Row],[Pronóstico de ventas]]*Tabla5[[#This Row],[IE]]</f>
        <v>1007.9714751651511</v>
      </c>
    </row>
    <row r="62" spans="2:15">
      <c r="B62" t="s">
        <v>12</v>
      </c>
      <c r="C62">
        <f>Tabla4111821[[#Totals],[Mes]]+(Tabla4111821[[#Totals],[Periodo]]*VentasProm!B61)</f>
        <v>2578.8416711493633</v>
      </c>
      <c r="D62">
        <f>Datos!P26</f>
        <v>1.5337423312883436E-3</v>
      </c>
      <c r="E62">
        <f>Tabla523263033[[#This Row],[Pronóstico de ventas]]*Tabla523263033[[#This Row],[IE]]</f>
        <v>3.9552786367321522</v>
      </c>
      <c r="G62" t="s">
        <v>12</v>
      </c>
      <c r="H62">
        <f>VentasProm!G67+(VentasProm!H67*VentasProm!H61)</f>
        <v>1629.7166935628475</v>
      </c>
      <c r="I62">
        <f>Datos!L53</f>
        <v>1.0790513833992095</v>
      </c>
      <c r="J62">
        <f>Tabla5[[#This Row],[Pronóstico de ventas]]*Tabla5[[#This Row],[IE]]</f>
        <v>1758.5480527377761</v>
      </c>
    </row>
    <row r="63" spans="2:15">
      <c r="B63" t="s">
        <v>13</v>
      </c>
      <c r="C63">
        <f>Tabla4111821[[#Totals],[Mes]]+(Tabla4111821[[#Totals],[Periodo]]*VentasProm!B62)</f>
        <v>2563.7260175721713</v>
      </c>
      <c r="D63">
        <f>Datos!P27</f>
        <v>6.1349693251533742E-2</v>
      </c>
      <c r="E63">
        <f>Tabla523263033[[#This Row],[Pronóstico de ventas]]*Tabla523263033[[#This Row],[IE]]</f>
        <v>157.28380475902892</v>
      </c>
      <c r="G63" t="s">
        <v>13</v>
      </c>
      <c r="H63">
        <f>VentasProm!G67+(VentasProm!H67*VentasProm!H62)</f>
        <v>1624.7104177873409</v>
      </c>
      <c r="I63">
        <f>Datos!L54</f>
        <v>0.59288537549407117</v>
      </c>
      <c r="J63">
        <f>Tabla5[[#This Row],[Pronóstico de ventas]]*Tabla5[[#This Row],[IE]]</f>
        <v>963.26704611897685</v>
      </c>
    </row>
    <row r="64" spans="2:15">
      <c r="B64" t="s">
        <v>14</v>
      </c>
      <c r="C64">
        <f>Tabla4111821[[#Totals],[Mes]]+(Tabla4111821[[#Totals],[Periodo]]*VentasProm!B63)</f>
        <v>2548.6103639949793</v>
      </c>
      <c r="D64">
        <f>Datos!P28</f>
        <v>8.2822085889570546E-2</v>
      </c>
      <c r="E64">
        <f>Tabla523263033[[#This Row],[Pronóstico de ventas]]*Tabla523263033[[#This Row],[IE]]</f>
        <v>211.08122646584184</v>
      </c>
      <c r="G64" t="s">
        <v>14</v>
      </c>
      <c r="H64">
        <f>VentasProm!G67+(VentasProm!H67*VentasProm!H63)</f>
        <v>1619.7041420118344</v>
      </c>
      <c r="I64">
        <f>Datos!L55</f>
        <v>0.87747035573122523</v>
      </c>
      <c r="J64">
        <f>Tabla5[[#This Row],[Pronóstico de ventas]]*Tabla5[[#This Row],[IE]]</f>
        <v>1421.2423696704632</v>
      </c>
    </row>
    <row r="65" spans="2:10">
      <c r="B65" t="s">
        <v>15</v>
      </c>
      <c r="C65">
        <f>Tabla4111821[[#Totals],[Mes]]+(Tabla4111821[[#Totals],[Periodo]]*VentasProm!B64)</f>
        <v>2533.4947104177872</v>
      </c>
      <c r="D65">
        <f>Datos!P29</f>
        <v>1.5337423312883436E-2</v>
      </c>
      <c r="E65">
        <f>Tabla523263033[[#This Row],[Pronóstico de ventas]]*Tabla523263033[[#This Row],[IE]]</f>
        <v>38.857280834628639</v>
      </c>
      <c r="G65" t="s">
        <v>15</v>
      </c>
      <c r="H65">
        <f>VentasProm!G67+(VentasProm!H67*VentasProm!H64)</f>
        <v>1614.6978662363279</v>
      </c>
      <c r="I65">
        <f>Datos!L56</f>
        <v>0.4743083003952569</v>
      </c>
      <c r="J65">
        <f>Tabla5[[#This Row],[Pronóstico de ventas]]*Tabla5[[#This Row],[IE]]</f>
        <v>765.86460058640057</v>
      </c>
    </row>
    <row r="66" spans="2:10">
      <c r="B66" t="s">
        <v>16</v>
      </c>
      <c r="C66">
        <f>Tabla4111821[[#Totals],[Mes]]+(Tabla4111821[[#Totals],[Periodo]]*VentasProm!B65)</f>
        <v>2518.3790568405952</v>
      </c>
      <c r="D66">
        <f>Datos!P30</f>
        <v>7.6687116564417178E-3</v>
      </c>
      <c r="E66">
        <f>Tabla523263033[[#This Row],[Pronóstico de ventas]]*Tabla523263033[[#This Row],[IE]]</f>
        <v>19.312722828532173</v>
      </c>
      <c r="G66" t="s">
        <v>16</v>
      </c>
      <c r="H66">
        <f>VentasProm!G67+(VentasProm!H67*VentasProm!H65)</f>
        <v>1609.6915904608213</v>
      </c>
      <c r="I66">
        <f>Datos!L57</f>
        <v>0.53359683794466406</v>
      </c>
      <c r="J66">
        <f>Tabla5[[#This Row],[Pronóstico de ventas]]*Tabla5[[#This Row],[IE]]</f>
        <v>858.92634273601141</v>
      </c>
    </row>
    <row r="70" spans="2:10">
      <c r="B70" t="s">
        <v>29</v>
      </c>
    </row>
    <row r="71" spans="2:10">
      <c r="C71" s="1" t="s">
        <v>1</v>
      </c>
      <c r="D71" s="1" t="s">
        <v>26</v>
      </c>
    </row>
    <row r="72" spans="2:10">
      <c r="C72" t="s">
        <v>5</v>
      </c>
      <c r="D72">
        <f>(((Datos!C4-Datos!B4)+(Datos!D4-Datos!C4)+(Datos!E4-Datos!D4)+(Datos!F4-Datos!E4))/(Datos!N50-1)) + Datos!F4</f>
        <v>1000</v>
      </c>
    </row>
    <row r="73" spans="2:10">
      <c r="C73" t="s">
        <v>6</v>
      </c>
      <c r="D73">
        <f>(((Datos!C5-Datos!B5)+(Datos!D5-Datos!C5)+(Datos!E5-Datos!D5)+(Datos!F5-Datos!E5))/(Datos!N50-1)) + Datos!F5</f>
        <v>38000</v>
      </c>
    </row>
    <row r="74" spans="2:10">
      <c r="C74" t="s">
        <v>28</v>
      </c>
      <c r="D74">
        <f>(((Datos!C6-Datos!B6)+(Datos!D6-Datos!C6)+(Datos!E6-Datos!D6)+(Datos!F6-Datos!E6))/(Datos!N50-1)) + Datos!F6</f>
        <v>57000</v>
      </c>
    </row>
    <row r="75" spans="2:10">
      <c r="C75" t="s">
        <v>8</v>
      </c>
      <c r="D75">
        <f>(((Datos!C7-Datos!B7)+(Datos!D7-Datos!C7)+(Datos!E7-Datos!D7)+(Datos!F7-Datos!E7))/(Datos!N50-1)) + Datos!F7</f>
        <v>1000</v>
      </c>
    </row>
    <row r="76" spans="2:10">
      <c r="C76" t="s">
        <v>9</v>
      </c>
      <c r="D76">
        <f>(((Datos!C8-Datos!B8)+(Datos!D8-Datos!C8)+(Datos!E8-Datos!D8)+(Datos!F8-Datos!E8))/(Datos!N50-1)) + Datos!F8</f>
        <v>0</v>
      </c>
    </row>
    <row r="77" spans="2:10">
      <c r="C77" t="s">
        <v>10</v>
      </c>
      <c r="D77">
        <f>(((Datos!C9-Datos!B9)+(Datos!D9-Datos!C9)+(Datos!E9-Datos!D9)+(Datos!F9-Datos!E9))/(Datos!N50-1)) + Datos!F9</f>
        <v>-1000</v>
      </c>
    </row>
    <row r="78" spans="2:10">
      <c r="C78" t="s">
        <v>11</v>
      </c>
      <c r="D78">
        <f>(((Datos!C10-Datos!B10)+(Datos!D10-Datos!C10)+(Datos!E10-Datos!D10)+(Datos!F10-Datos!E10))/(Datos!N50-1)) + Datos!F10</f>
        <v>-4600</v>
      </c>
    </row>
    <row r="79" spans="2:10">
      <c r="C79" t="s">
        <v>12</v>
      </c>
      <c r="D79">
        <f>(((Datos!C11-Datos!B11)+(Datos!D11-Datos!C11)+(Datos!E11-Datos!D11)+(Datos!F11-Datos!E11))/(Datos!N50-1)) + Datos!F11</f>
        <v>-8800</v>
      </c>
    </row>
    <row r="80" spans="2:10">
      <c r="C80" t="s">
        <v>13</v>
      </c>
      <c r="D80">
        <f>(((Datos!C12-Datos!B12)+(Datos!D12-Datos!C12)+(Datos!E12-Datos!D12)+(Datos!F12-Datos!E12))/(Datos!N50-1)) + Datos!F12</f>
        <v>7000</v>
      </c>
    </row>
    <row r="81" spans="3:4">
      <c r="C81" t="s">
        <v>14</v>
      </c>
      <c r="D81">
        <f>(((Datos!C13-Datos!B13)+(Datos!D13-Datos!C13)+(Datos!E13-Datos!D13)+(Datos!F13-Datos!E13))/(Datos!N50-1)) + Datos!F13</f>
        <v>8800</v>
      </c>
    </row>
    <row r="82" spans="3:4">
      <c r="C82" t="s">
        <v>15</v>
      </c>
      <c r="D82">
        <f>(((Datos!C14-Datos!B14)+(Datos!D14-Datos!C14)+(Datos!E14-Datos!D14)+(Datos!F14-Datos!E14))/(Datos!N50-1)) + Datos!F14</f>
        <v>-1000</v>
      </c>
    </row>
    <row r="83" spans="3:4">
      <c r="C83" t="s">
        <v>16</v>
      </c>
      <c r="D83">
        <f>(((Datos!C15-Datos!B15)+(Datos!D15-Datos!C15)+(Datos!E15-Datos!D15)+(Datos!F15-Datos!E15))/(Datos!N50-1)) + Datos!F15</f>
        <v>-3000</v>
      </c>
    </row>
  </sheetData>
  <mergeCells count="1">
    <mergeCell ref="A1:I2"/>
  </mergeCells>
  <pageMargins left="0.7" right="0.7" top="0.75" bottom="0.75" header="0.3" footer="0.3"/>
  <pageSetup orientation="portrait" r:id="rId1"/>
  <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Inicio</vt:lpstr>
      <vt:lpstr>Mínimos</vt:lpstr>
      <vt:lpstr>Datos</vt:lpstr>
      <vt:lpstr>VentasProm</vt:lpstr>
      <vt:lpstr>Pronostico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Lupz</dc:creator>
  <cp:lastModifiedBy>Erick Efrain Vargas Romero</cp:lastModifiedBy>
  <dcterms:created xsi:type="dcterms:W3CDTF">2017-05-11T23:30:12Z</dcterms:created>
  <dcterms:modified xsi:type="dcterms:W3CDTF">2017-06-09T13:40:32Z</dcterms:modified>
</cp:coreProperties>
</file>